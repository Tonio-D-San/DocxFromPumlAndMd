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tonioSansonne\PycharmProjects\DocxFromPumlAndMd\mdToXlsx\"/>
    </mc:Choice>
  </mc:AlternateContent>
  <xr:revisionPtr revIDLastSave="0" documentId="8_{5D48D7E3-24C2-4B2F-BE70-3ECF779300BF}" xr6:coauthVersionLast="47" xr6:coauthVersionMax="47" xr10:uidLastSave="{00000000-0000-0000-0000-000000000000}"/>
  <bookViews>
    <workbookView xWindow="28680" yWindow="-120" windowWidth="38640" windowHeight="21120" firstSheet="3" activeTab="3" xr2:uid="{00000000-000D-0000-FFFF-FFFF00000000}"/>
  </bookViews>
  <sheets>
    <sheet name="Wave 1" sheetId="1" r:id="rId1"/>
    <sheet name="Wave 2" sheetId="2" r:id="rId2"/>
    <sheet name="Merge e Deploy QA Wave 2" sheetId="3" r:id="rId3"/>
    <sheet name="Wave 3" sheetId="4" r:id="rId4"/>
    <sheet name="Templates" sheetId="5" r:id="rId5"/>
  </sheets>
  <definedNames>
    <definedName name="_xlnm._FilterDatabase" localSheetId="2" hidden="1">'Merge e Deploy QA Wave 2'!$A$1:$M$72</definedName>
    <definedName name="_xlnm._FilterDatabase" localSheetId="4" hidden="1">Templates!$A$1:$E$17</definedName>
    <definedName name="_xlnm._FilterDatabase" localSheetId="0" hidden="1">'Wave 1'!$A$1:$M$32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V2" i="4"/>
  <c r="U2" i="4"/>
  <c r="T2" i="4"/>
  <c r="S2" i="4"/>
  <c r="R2" i="4"/>
  <c r="Q2" i="4"/>
  <c r="Z2" i="4" s="1"/>
  <c r="V2" i="3"/>
  <c r="U2" i="3"/>
  <c r="W2" i="3" s="1"/>
  <c r="T2" i="3"/>
  <c r="S2" i="3"/>
  <c r="X2" i="2"/>
  <c r="W2" i="2"/>
  <c r="Y2" i="2" s="1"/>
  <c r="V2" i="2"/>
  <c r="U2" i="2"/>
  <c r="T2" i="2"/>
  <c r="S2" i="2"/>
  <c r="R2" i="2"/>
  <c r="Q2" i="2"/>
  <c r="Z2" i="2" s="1"/>
  <c r="J39" i="1"/>
  <c r="J38" i="1"/>
  <c r="J37" i="1"/>
  <c r="J36" i="1"/>
  <c r="J35" i="1"/>
  <c r="J32" i="1"/>
  <c r="J31" i="1"/>
  <c r="J30" i="1"/>
  <c r="J29" i="1"/>
  <c r="J28" i="1"/>
  <c r="J27" i="1"/>
  <c r="J26" i="1"/>
  <c r="J25" i="1"/>
  <c r="J24" i="1"/>
  <c r="J23" i="1"/>
  <c r="J22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<sst xmlns="http://schemas.openxmlformats.org/spreadsheetml/2006/main" count="2870" uniqueCount="572">
  <si>
    <t>Code</t>
  </si>
  <si>
    <t>Name</t>
  </si>
  <si>
    <t>Type</t>
  </si>
  <si>
    <t>Template</t>
  </si>
  <si>
    <t>ID Template</t>
  </si>
  <si>
    <t>Project</t>
  </si>
  <si>
    <t>Priority</t>
  </si>
  <si>
    <t>Migration Start Date</t>
  </si>
  <si>
    <t>Migration End Date</t>
  </si>
  <si>
    <t>Migration Status</t>
  </si>
  <si>
    <t>Notes</t>
  </si>
  <si>
    <t>Mergiato in master</t>
  </si>
  <si>
    <t>Rebuild post merge</t>
  </si>
  <si>
    <t>bp00036</t>
  </si>
  <si>
    <t>boadokpifetching</t>
  </si>
  <si>
    <t>BS</t>
  </si>
  <si>
    <t>pltb001</t>
  </si>
  <si>
    <t>pltb001-0.5.0</t>
  </si>
  <si>
    <t>KPI ADO</t>
  </si>
  <si>
    <t>H</t>
  </si>
  <si>
    <t>Build: OK, OneConsole: OK - Problema minore con Fluentbit, da accordi con @Valentino, ottimizziamo con la prossima realese</t>
  </si>
  <si>
    <t>SI</t>
  </si>
  <si>
    <t>OK</t>
  </si>
  <si>
    <t>bp00047</t>
  </si>
  <si>
    <t>boadometricingestion</t>
  </si>
  <si>
    <t>bp00037</t>
  </si>
  <si>
    <t>boadoregistry</t>
  </si>
  <si>
    <t>bp00054</t>
  </si>
  <si>
    <t>bopiafconfigmanager</t>
  </si>
  <si>
    <t>STW</t>
  </si>
  <si>
    <t>L</t>
  </si>
  <si>
    <t>Build: KO non vengono trovate le dipendenze. Concordato con @Valentino di lasciare in coda trattandosi di un servizio poco prioritario</t>
  </si>
  <si>
    <t>bp00055</t>
  </si>
  <si>
    <t>bostwreport</t>
  </si>
  <si>
    <t>bp00050</t>
  </si>
  <si>
    <t>bxinvoicedenergy</t>
  </si>
  <si>
    <t>pltb006</t>
  </si>
  <si>
    <t>pltb006-0.6.0</t>
  </si>
  <si>
    <t>Build: OK, OneConsole: OK</t>
  </si>
  <si>
    <t>bp00042</t>
  </si>
  <si>
    <t>bxpiafrawdata</t>
  </si>
  <si>
    <t>bp00049</t>
  </si>
  <si>
    <t>bxsapbwworkorder</t>
  </si>
  <si>
    <t>bp00192</t>
  </si>
  <si>
    <t>bxmeriskprjcatalog</t>
  </si>
  <si>
    <t>pltb023</t>
  </si>
  <si>
    <t>pltb023-0.2.0</t>
  </si>
  <si>
    <t>Prisma</t>
  </si>
  <si>
    <t>Build: OK, OneConsole -&gt; @Valentino deve verificare presenza log</t>
  </si>
  <si>
    <t>bp00182</t>
  </si>
  <si>
    <t>bogmi</t>
  </si>
  <si>
    <t>pltb030</t>
  </si>
  <si>
    <t>pltb030-0.11.0</t>
  </si>
  <si>
    <t>GMI Digital</t>
  </si>
  <si>
    <t>bp00096</t>
  </si>
  <si>
    <t>bxmepurchaserequest</t>
  </si>
  <si>
    <t>HSEQ4All</t>
  </si>
  <si>
    <t>Non tornano le variabili d'ambiente presenti, manca puntamento a microservizio. Capire con @Valentino a quale ms punta</t>
  </si>
  <si>
    <t>mp00059</t>
  </si>
  <si>
    <t>mxsnowapm</t>
  </si>
  <si>
    <t>MS</t>
  </si>
  <si>
    <t>pltm001</t>
  </si>
  <si>
    <t>pltm001-0.5.0</t>
  </si>
  <si>
    <t>mp00123</t>
  </si>
  <si>
    <t>mxemsysenergyinvoice</t>
  </si>
  <si>
    <t>Non è migrabile: Ha un problema con i Bean (Platform usa CacheManager). Concordato con @ Valentino di controllare con la prossima migrazione</t>
  </si>
  <si>
    <t>mp00132</t>
  </si>
  <si>
    <t>mxpiafconfigmanager</t>
  </si>
  <si>
    <t>mp00092</t>
  </si>
  <si>
    <t>mxpiafrawdata</t>
  </si>
  <si>
    <t>mp00122</t>
  </si>
  <si>
    <t>mxsapbwworkorder</t>
  </si>
  <si>
    <t>mp00400</t>
  </si>
  <si>
    <t>megmiboroscopia</t>
  </si>
  <si>
    <t>pltm003</t>
  </si>
  <si>
    <t>pltm003-0.8.0</t>
  </si>
  <si>
    <t>mp00443</t>
  </si>
  <si>
    <t>megmilogic</t>
  </si>
  <si>
    <t>mp00399</t>
  </si>
  <si>
    <t>megmiweb</t>
  </si>
  <si>
    <t>Done</t>
  </si>
  <si>
    <t>Build: OK, migrato su branch</t>
  </si>
  <si>
    <t>mp00411</t>
  </si>
  <si>
    <t>meriskprojectcatalog</t>
  </si>
  <si>
    <t>Build: OK, migrato su branch; @Valentino deve indagare connection error nei log, presente anche prima della migrazione, forse di ownership di un altro team</t>
  </si>
  <si>
    <t>mp00116</t>
  </si>
  <si>
    <t>mesaskpiperformance</t>
  </si>
  <si>
    <t>mp00131</t>
  </si>
  <si>
    <t>mesassolarregistry</t>
  </si>
  <si>
    <t>mp00101</t>
  </si>
  <si>
    <t>meadoptattribute</t>
  </si>
  <si>
    <t>pltm010</t>
  </si>
  <si>
    <t>pltm010-0.4.0</t>
  </si>
  <si>
    <t>Build OK,  oneconsole ok</t>
  </si>
  <si>
    <t>mp00075</t>
  </si>
  <si>
    <t>meadoptkpi</t>
  </si>
  <si>
    <t>Dopo il merge la build fallisce in tqs, concordato con Valentino di rivederlo all prossima migrazione</t>
  </si>
  <si>
    <t>mp00074</t>
  </si>
  <si>
    <t>meadoptmetric</t>
  </si>
  <si>
    <t>Build e Oneconsole OK, errore di DataGovernance nei logs opensearch,concordato con @ Valentino di controllare con la prossima migrazione in quanto è un problema poco prioritario</t>
  </si>
  <si>
    <t>mp00442</t>
  </si>
  <si>
    <t>msbdprojectlandmgmt</t>
  </si>
  <si>
    <t>Land Management</t>
  </si>
  <si>
    <t>In standby, forse di ownership di un altro team come riferito da Valentino</t>
  </si>
  <si>
    <t>mp00115</t>
  </si>
  <si>
    <t>mestwbudget</t>
  </si>
  <si>
    <t>mp00208</t>
  </si>
  <si>
    <t>mestweconomics</t>
  </si>
  <si>
    <t>mp00091</t>
  </si>
  <si>
    <t>mestwreport</t>
  </si>
  <si>
    <t>mp00424</t>
  </si>
  <si>
    <t>rso00201sent</t>
  </si>
  <si>
    <t>SL</t>
  </si>
  <si>
    <t>plts001</t>
  </si>
  <si>
    <t>plts001-0.6.0</t>
  </si>
  <si>
    <t>Sentinel</t>
  </si>
  <si>
    <t>Build: OK, pod KO, la migrazione completata;  Va ultimata la configurazione (mancano secret e dns) di competenza dell'owner dei servizi</t>
  </si>
  <si>
    <t>mp00148</t>
  </si>
  <si>
    <t>rso00101stw</t>
  </si>
  <si>
    <t>Migrazione: OK (allienato a template), Build: KO, la build falliva già da prima della migrazione, nel master</t>
  </si>
  <si>
    <t>Colonna1</t>
  </si>
  <si>
    <t>Colonna2</t>
  </si>
  <si>
    <t>mp00489</t>
  </si>
  <si>
    <t>meargosintegration</t>
  </si>
  <si>
    <t>Task Tracker</t>
  </si>
  <si>
    <t>Task Tracker ha migrato su develop alla versione 3.10 (già in qa)</t>
  </si>
  <si>
    <t>mp00462</t>
  </si>
  <si>
    <t>mettadminstration</t>
  </si>
  <si>
    <t>pltm006</t>
  </si>
  <si>
    <t>pltm006-0.5.0</t>
  </si>
  <si>
    <t>Task Tracker ha migrato su develop alla versione 2.10 (già in qa)</t>
  </si>
  <si>
    <t>mp00461</t>
  </si>
  <si>
    <t>mettcontract</t>
  </si>
  <si>
    <t>mp00453</t>
  </si>
  <si>
    <t>mettoperations</t>
  </si>
  <si>
    <t>migrato su master. Durante un analisi fortuita dei log si è verificato quanto segue: Nonostante la presenza della libreria Apache Commons nelle dipendenze del progetto, si verifica l'errore java.lang.NoClassDefFoundError: org/apache/commons/collections/MapUtils 
Task Tracker ha migrato su develop alla versione 2.10 (già in qa)</t>
  </si>
  <si>
    <t>mp00482</t>
  </si>
  <si>
    <t>meinstrumentation</t>
  </si>
  <si>
    <t>WASP-GISA</t>
  </si>
  <si>
    <t>alcune classi presenti nella libreria spring-boot-starter-test   sono usate nel codice sorgente e non solo nel package di test. Dopo la migrazione alla libreria è stato aggiunto lo scope test  obbligatorio per il template perchè si trova in una required section. La soluzione trovata è la seguente: duplicare la liberia ,metterla al di fuori della required section del pom.xml ed eliminare lo scope di test.</t>
  </si>
  <si>
    <t> </t>
  </si>
  <si>
    <t>Usa eventi</t>
  </si>
  <si>
    <t>Java Version</t>
  </si>
  <si>
    <t>Migration Notes</t>
  </si>
  <si>
    <t>Owner</t>
  </si>
  <si>
    <t>Internal Notes</t>
  </si>
  <si>
    <t>External Requests</t>
  </si>
  <si>
    <t>Done Services</t>
  </si>
  <si>
    <t xml:space="preserve">In Progress Services </t>
  </si>
  <si>
    <t>Not yet started</t>
  </si>
  <si>
    <t>In stand by</t>
  </si>
  <si>
    <t>Support Ticket</t>
  </si>
  <si>
    <t>Blocked</t>
  </si>
  <si>
    <t>Dismissed</t>
  </si>
  <si>
    <t>Total Services</t>
  </si>
  <si>
    <t>Total Workable Services</t>
  </si>
  <si>
    <t>Percentage of completion</t>
  </si>
  <si>
    <t>bp00028</t>
  </si>
  <si>
    <t>bosapplantregistry</t>
  </si>
  <si>
    <t>POM</t>
  </si>
  <si>
    <t>NO</t>
  </si>
  <si>
    <t>17/4/2025</t>
  </si>
  <si>
    <t>Non migrato dalla pre release, build e pod OK, problemi con fluentbit come gli altri pltb001 (già prima della migrazione)</t>
  </si>
  <si>
    <t>Andrea</t>
  </si>
  <si>
    <t>la migrazione infrastr. lato nostro è fatta, il problema di fluentbit dovuto a permessi di accesso ai log dovrebbe essere risolto lato enel, aperto un ticket</t>
  </si>
  <si>
    <t>AGG al 15/05: effettuata una chiamata con Valentino e il team di POM e hanno detto che il servizio è da dismettere e non è necessario migrarlo, dovrebbero inviare a breve la richiesta di dismissione</t>
  </si>
  <si>
    <t>build e pod OK, problemi con fluentbit come gli altri pltb001 (già prima della migrazione)</t>
  </si>
  <si>
    <t>16/4/2025</t>
  </si>
  <si>
    <t>Non migrato dalla pre release, build e pod  OK, problemi con fluentbit come gli altri pltb001 (già prima della migrazione)</t>
  </si>
  <si>
    <t>bp00039</t>
  </si>
  <si>
    <t>bxmedevsrea</t>
  </si>
  <si>
    <t>Conceptual Solar</t>
  </si>
  <si>
    <t>Non migrato dalla pre release, build e pod OK, problemi con fluentbit come gli altri pltb006</t>
  </si>
  <si>
    <t>la migrazione infrastr. lato nostro è fatta, il problema di fluentbit dovuto a permessi di accesso ai log dovrebbe essere risolto lato enel, stiamo valutando l'apertura di un ticket</t>
  </si>
  <si>
    <t>bp00040</t>
  </si>
  <si>
    <t>boplantdataenrich</t>
  </si>
  <si>
    <t>15/04/2025</t>
  </si>
  <si>
    <t>Non migrato dalla pre release, build  e pod OK, problemi con fluentbit come gli altri pltb001</t>
  </si>
  <si>
    <t>chiedere ai ragazzi di pom di effettuare delle chiamate in amabiente dev per poi controllare i log come ci hanno indicato dal ticket</t>
  </si>
  <si>
    <t>build OK, pod OK, problema con fluentbit (c'erano anche nella fase precedente), probabilmente va fixato il template</t>
  </si>
  <si>
    <t>bp00043</t>
  </si>
  <si>
    <t>bxsaskpiperformance</t>
  </si>
  <si>
    <t>Digital Twin</t>
  </si>
  <si>
    <t>bp00046</t>
  </si>
  <si>
    <t>boplantdataretrieval</t>
  </si>
  <si>
    <t>14/4/2025</t>
  </si>
  <si>
    <t>In dismissione</t>
  </si>
  <si>
    <t>build ko in build_src non trova delle dipendenze di com.enel.platfrmization.mediators, non migrato dalla pre release, contiene errori di fluentbit già prima di fare l'attuale migrazione</t>
  </si>
  <si>
    <t>provato a migrare poco alla volta: migrando tutti i file necessari alla migrazione tranne il dockerfile e i nomi dei package la build è OK, nel momento in cui si aggiorna il dockerfile la build fallisce 
"Probabilmente il team di POM vorrebbe cancellare questo servizio.
EDIT. 07/05/2025 hanno deciso che vanno migrati
Probabilmente non migrato alla pre-release"
AGG al 15/05: effettuata chiamata con Valentino e il team di POM, anche questo probabilmente sarà da dismettere a breve e non è necessario migrarli</t>
  </si>
  <si>
    <t>18/4/2025</t>
  </si>
  <si>
    <t>14/04/2025</t>
  </si>
  <si>
    <t>15/4/2025</t>
  </si>
  <si>
    <t>Non migrato dalla pre release,build OK, pod OK, problema con fluentbit (c'erano anche nella fase precedente), probabilmente va fixato il template</t>
  </si>
  <si>
    <t>Dalla scorsa migrazione: "Build: KO non vengono trovate le dipendenze. Concordato con @Valentino di lasciare in coda trattandosi di un servizio poco prioritario"</t>
  </si>
  <si>
    <t>bp00057</t>
  </si>
  <si>
    <t>bxaggregatekpiqlty</t>
  </si>
  <si>
    <t>falliva gia in master, build ko in build_src, problemi con dipendenza org.codehaus.mojo, dopo averlo commentato dà problemi con altre dipendenze</t>
  </si>
  <si>
    <t>Probabilmente il team di POM vorrebbe cancellare questo servizio.
EDIT. 07/05/2025 hanno deciso che vanno migrati
Probabilmente non migrato alla pre-release</t>
  </si>
  <si>
    <t>bp00058</t>
  </si>
  <si>
    <t>booilcmptanalysis</t>
  </si>
  <si>
    <t>WORA</t>
  </si>
  <si>
    <t>M-H</t>
  </si>
  <si>
    <t>build OK, pod OK</t>
  </si>
  <si>
    <t>John</t>
  </si>
  <si>
    <t>bp00078</t>
  </si>
  <si>
    <t>boplantsmgmt</t>
  </si>
  <si>
    <t>bp00089</t>
  </si>
  <si>
    <t>bodaenrichmentevents</t>
  </si>
  <si>
    <t>bp00136</t>
  </si>
  <si>
    <t>bobsnworkspace</t>
  </si>
  <si>
    <t>INGEN</t>
  </si>
  <si>
    <t>bp00138</t>
  </si>
  <si>
    <t>bxdocumentcr</t>
  </si>
  <si>
    <t>AICR</t>
  </si>
  <si>
    <t>22/4/2025</t>
  </si>
  <si>
    <t>bp00140</t>
  </si>
  <si>
    <t>bopiafenrichconfig</t>
  </si>
  <si>
    <t>bp00171</t>
  </si>
  <si>
    <t>bopiafguevents2</t>
  </si>
  <si>
    <t>24/4/2025</t>
  </si>
  <si>
    <t>bp00184</t>
  </si>
  <si>
    <t>bxrearmrulemgmt</t>
  </si>
  <si>
    <t>bp00186</t>
  </si>
  <si>
    <t>bosasraweventenrich</t>
  </si>
  <si>
    <t>build OK, pod OK, testato dal team di Soprasteria con successo</t>
  </si>
  <si>
    <t>bp00195</t>
  </si>
  <si>
    <t>bottoperations</t>
  </si>
  <si>
    <t>N/A</t>
  </si>
  <si>
    <t>Migrazione effettuata parzialmente da altro team, mancano alcune modifiche da effettuare (dockerfile jdk version, build_script.sh, automation_conf.yaml)</t>
  </si>
  <si>
    <t>Controllati il 17/4/2025</t>
  </si>
  <si>
    <t>bp00198</t>
  </si>
  <si>
    <t>bodaevents</t>
  </si>
  <si>
    <t>bp00199</t>
  </si>
  <si>
    <t>bottadministration</t>
  </si>
  <si>
    <t>bp00200</t>
  </si>
  <si>
    <t>bottcontract</t>
  </si>
  <si>
    <t>Migrazione effettuata parzialmente da altro team, mancano alcune modifiche da effettuare (dockerfile jdk version, build_script.sh, automation_conf.yamlvalues.yaml fluentbit version)</t>
  </si>
  <si>
    <t>bp00202</t>
  </si>
  <si>
    <t>bopiafcachingmgmt</t>
  </si>
  <si>
    <t>bp00211</t>
  </si>
  <si>
    <t>bouseralarmnotifier</t>
  </si>
  <si>
    <t>build OK, pod OK, collegato all'aggiornamento di  servizio mp00148</t>
  </si>
  <si>
    <t>bp00212</t>
  </si>
  <si>
    <t>boinstrmntmgmt</t>
  </si>
  <si>
    <t>build OK, pod OK, non era migrato neanche nella pre release</t>
  </si>
  <si>
    <t>bp00216</t>
  </si>
  <si>
    <t>bxmfpdfreport</t>
  </si>
  <si>
    <t>23/4/2025</t>
  </si>
  <si>
    <t>bp00218</t>
  </si>
  <si>
    <t>bosaspredictiveevent</t>
  </si>
  <si>
    <t>build OK,pod OK</t>
  </si>
  <si>
    <t>bp00227</t>
  </si>
  <si>
    <t>bosapregistrymgmt</t>
  </si>
  <si>
    <t>bp00236</t>
  </si>
  <si>
    <t>bopiafpredictiveevnt</t>
  </si>
  <si>
    <t>mp00030</t>
  </si>
  <si>
    <t>mfpdfreport</t>
  </si>
  <si>
    <t>pltm002</t>
  </si>
  <si>
    <t>29/4/2025</t>
  </si>
  <si>
    <t>mp00072</t>
  </si>
  <si>
    <t>mesapassetregistry</t>
  </si>
  <si>
    <t>30/4/2025</t>
  </si>
  <si>
    <t>Problema con dipendenza DynamoDBLocal. Il problema era già stato riscontrato nella migrazione alla versione pre-release e continua a costituire un problema anche durante l'attuale migrazione.
Attualmente Valentino sta indagando sulla possibilità di dismettere questo servizio</t>
  </si>
  <si>
    <t>Usati solo da Digital Twin (In dismissione)</t>
  </si>
  <si>
    <t>DALLA SCORSA MIGRAZIONE: "Non è migrabile: Ha un problema con i Bean (Platform usa CacheManager). Concordato con @ Valentino di controllare con la prossima migrazione"
Attualmente Valentino sta indagando sulla possibilità di dismettere questo servizio</t>
  </si>
  <si>
    <t>Usati solo da Digital Twin (In dismissione)
- In corso tentativo di migrazione</t>
  </si>
  <si>
    <t>mp00093</t>
  </si>
  <si>
    <t>mes3filemanager</t>
  </si>
  <si>
    <t>mp00111</t>
  </si>
  <si>
    <t>medevsrea</t>
  </si>
  <si>
    <t>28/4/2025</t>
  </si>
  <si>
    <t>non era migrato neanche nella pre release, rimigrato su branch bis, build OK pod OK</t>
  </si>
  <si>
    <t>Problema con dipendenze. il problema era già presente nella precedente migrazione e non si è risolto
Attualmente Valentino sta indagando sulla possibilità di dismettere questo servizio</t>
  </si>
  <si>
    <t>mp00124</t>
  </si>
  <si>
    <t>rso00094kpi</t>
  </si>
  <si>
    <t>M</t>
  </si>
  <si>
    <t>mp00172</t>
  </si>
  <si>
    <t>meoilcmptanalysis</t>
  </si>
  <si>
    <t>mp00173</t>
  </si>
  <si>
    <t>mxpoemployees</t>
  </si>
  <si>
    <t>mp00248</t>
  </si>
  <si>
    <t>mxadfsuser</t>
  </si>
  <si>
    <t>mp00251</t>
  </si>
  <si>
    <t>merawdaevents</t>
  </si>
  <si>
    <t>mp00252</t>
  </si>
  <si>
    <t>meenricheddaevents</t>
  </si>
  <si>
    <t>mp00254</t>
  </si>
  <si>
    <t>mxcontract</t>
  </si>
  <si>
    <t>19/04/2025</t>
  </si>
  <si>
    <t>build OK, pod Ok</t>
  </si>
  <si>
    <t>mp00258</t>
  </si>
  <si>
    <t>mxcontractworker</t>
  </si>
  <si>
    <t>mp00306</t>
  </si>
  <si>
    <t>mxbsnworkspace</t>
  </si>
  <si>
    <t>mp00324</t>
  </si>
  <si>
    <t>medocumentcr</t>
  </si>
  <si>
    <t>M-L</t>
  </si>
  <si>
    <t>non era migrato neanche nella pre release, buildOK,pod OK</t>
  </si>
  <si>
    <t>Aggiungere extra effort perchè non migrato alla pre-release (2g)</t>
  </si>
  <si>
    <t>La migrazione alla pre release e quella successiva sono state fatte cambiando il template di riferimento del servizio da pltm003 a pltm002, probabilmente il servizio era stato staccato male</t>
  </si>
  <si>
    <t>mp00346</t>
  </si>
  <si>
    <t>mxpiafguevents</t>
  </si>
  <si>
    <t>mp00405</t>
  </si>
  <si>
    <t>merearmrule</t>
  </si>
  <si>
    <t>migrazione infrastr. effettuata, i pod non salgono perche mancano alcuni valori fondamentali (secrets, dns) da inserire da parte degli owner del servizio</t>
  </si>
  <si>
    <t>Migrazione in carico ad altro team</t>
  </si>
  <si>
    <t>mp00459</t>
  </si>
  <si>
    <t>so00223tasktracker</t>
  </si>
  <si>
    <t>Migrazione in carico ad altro team, sembra non migrato</t>
  </si>
  <si>
    <t>mp00460</t>
  </si>
  <si>
    <t>mepiafcacheddata</t>
  </si>
  <si>
    <t>mp00463</t>
  </si>
  <si>
    <t>so00205gmi</t>
  </si>
  <si>
    <t>Build OK, pod Ok</t>
  </si>
  <si>
    <t>Da verificare gruppo della solution (Exprivia)
Provare ad abilitare matricola (Enel)</t>
  </si>
  <si>
    <t>mp00481</t>
  </si>
  <si>
    <t>rso00228a001</t>
  </si>
  <si>
    <t>Problema individuato, riprovare build (Valentino)</t>
  </si>
  <si>
    <t>mp00487</t>
  </si>
  <si>
    <t>meuseralarmnotifier</t>
  </si>
  <si>
    <t>migrato alla prerelease e poi alla nuova migrazione, buid OK, pod OK</t>
  </si>
  <si>
    <t xml:space="preserve">Aggiungere extra effort perchè non migrato alla pre-release (2g)
</t>
  </si>
  <si>
    <t>mp00506</t>
  </si>
  <si>
    <t>mesaspredictiveevent</t>
  </si>
  <si>
    <t>mp00538</t>
  </si>
  <si>
    <t>mepiafpredictiveevnt</t>
  </si>
  <si>
    <t>mp00549</t>
  </si>
  <si>
    <t>meplantrealtimedata</t>
  </si>
  <si>
    <t>Come riferisce Tomaselli Dario in seguito ad uno scambio di mail, il servizio è escluso dalla nostra attività perchè aggiornato dal suo team</t>
  </si>
  <si>
    <t>bp00008</t>
  </si>
  <si>
    <t>bxrmpregistry2</t>
  </si>
  <si>
    <t>ROMAP</t>
  </si>
  <si>
    <t>bp00011</t>
  </si>
  <si>
    <t>bxmerbtdata2</t>
  </si>
  <si>
    <t>Non migrato alla pre release, build OK, pod OK, problema fluentbit</t>
  </si>
  <si>
    <t>bp00013</t>
  </si>
  <si>
    <t>bormpprocessingmgmt2</t>
  </si>
  <si>
    <t>bp00162</t>
  </si>
  <si>
    <t>bodefectsmgmt</t>
  </si>
  <si>
    <t>bp00205</t>
  </si>
  <si>
    <t>bxmerbtpilot</t>
  </si>
  <si>
    <t>mp00345</t>
  </si>
  <si>
    <t>merbtdefect</t>
  </si>
  <si>
    <t>mp00352</t>
  </si>
  <si>
    <t>merbtinspection2</t>
  </si>
  <si>
    <t>mp00473</t>
  </si>
  <si>
    <t>merbtpilot</t>
  </si>
  <si>
    <t>bp00026</t>
  </si>
  <si>
    <t>bxmeplantsmeasures</t>
  </si>
  <si>
    <t>HCCPortalGis</t>
  </si>
  <si>
    <t>errori fluentbit già prima della migrazione, non migrato alla pre release, buid OK, pod OK</t>
  </si>
  <si>
    <t>bp00152</t>
  </si>
  <si>
    <t>boplantsmeasures</t>
  </si>
  <si>
    <t>mp00066</t>
  </si>
  <si>
    <t>meplantsmeasures</t>
  </si>
  <si>
    <t>15/5/2025</t>
  </si>
  <si>
    <t>bp00214</t>
  </si>
  <si>
    <t>bobdprojectlandmgmt</t>
  </si>
  <si>
    <t>pltm042</t>
  </si>
  <si>
    <t>Build OK, pod OK</t>
  </si>
  <si>
    <t>Blocco sulla build (richiesto a gruppo Asset di sbloccare la build)</t>
  </si>
  <si>
    <t>bp00201</t>
  </si>
  <si>
    <t>bohomgmt</t>
  </si>
  <si>
    <t>Handover to OM</t>
  </si>
  <si>
    <t>con  pipeline test202411 fallisce build in check core and security, con pipeline full OK</t>
  </si>
  <si>
    <t>mp00466</t>
  </si>
  <si>
    <t>mehotranscodingrules</t>
  </si>
  <si>
    <t>20/5/2025</t>
  </si>
  <si>
    <t>Secondo pacchetto</t>
  </si>
  <si>
    <t>bp00115</t>
  </si>
  <si>
    <t>boaiworkcapitalmgmt</t>
  </si>
  <si>
    <t>AIWC</t>
  </si>
  <si>
    <t>Build OK, pod OK, da testare le API</t>
  </si>
  <si>
    <t>Secondo pacchetto. Extra effort: + mezza giornata</t>
  </si>
  <si>
    <t>mp00228</t>
  </si>
  <si>
    <t>mewcscenariooutput</t>
  </si>
  <si>
    <t>In Standby</t>
  </si>
  <si>
    <t xml:space="preserve">da questo servizio dipendono mp00322, 323, 256, errore in build_src, aperto un ticket </t>
  </si>
  <si>
    <t>mp00255</t>
  </si>
  <si>
    <t>rso00135aiwc</t>
  </si>
  <si>
    <t>Build OK ma pod down</t>
  </si>
  <si>
    <t>mp00256</t>
  </si>
  <si>
    <t>mewcscenario</t>
  </si>
  <si>
    <t>Build OK, pod OK (controllare eventuali problemi con i restart dei pod)</t>
  </si>
  <si>
    <t>mp00257</t>
  </si>
  <si>
    <t>mewcingestor</t>
  </si>
  <si>
    <t>mp00322</t>
  </si>
  <si>
    <t>mewccognitive</t>
  </si>
  <si>
    <t>pltm027</t>
  </si>
  <si>
    <t>In progress</t>
  </si>
  <si>
    <t>Servizio in python. E' stato effettuato l'allineamento al template ma la build fallisce</t>
  </si>
  <si>
    <t>mp00323</t>
  </si>
  <si>
    <t>mewcoptimizer</t>
  </si>
  <si>
    <t>End Date</t>
  </si>
  <si>
    <t>Merge Status</t>
  </si>
  <si>
    <t>Deploy QA Status</t>
  </si>
  <si>
    <t>Status</t>
  </si>
  <si>
    <t>Deployed in Prod</t>
  </si>
  <si>
    <t>To Do</t>
  </si>
  <si>
    <t>Merged</t>
  </si>
  <si>
    <t>Deployed</t>
  </si>
  <si>
    <t>Percentage of Services Done</t>
  </si>
  <si>
    <t>23/07/2025</t>
  </si>
  <si>
    <t>Problemi con i bs synapse smebrano fixati</t>
  </si>
  <si>
    <t>23/06 Test in carico al team di AMS. 24/06 Blocked by synapse. 
Agg. 23/07 nel pomeriggio test congiunti con valentino</t>
  </si>
  <si>
    <t>Ready 4 prod deploy</t>
  </si>
  <si>
    <t>Test e2e con team. 25/06 OK</t>
  </si>
  <si>
    <t>Awaiting service life status</t>
  </si>
  <si>
    <t>23/06 Test in carico al team di AMS. 24/06 Blocked by synapse
Agg. 23/07 nel pomeriggio test congiunti con valentino</t>
  </si>
  <si>
    <t>Non deployare</t>
  </si>
  <si>
    <t>EoL</t>
  </si>
  <si>
    <t>Test in ok</t>
  </si>
  <si>
    <t>Ready 4 Prod</t>
  </si>
  <si>
    <t>16/7/2025</t>
  </si>
  <si>
    <t>Deployed in qa e prod</t>
  </si>
  <si>
    <t>23/06. Tutto in QA. Trattandosi di sviluppi in corso non portabile in prod</t>
  </si>
  <si>
    <t>23/06 Test in carico al team di AMS
Agg. 23/07 nel pomeriggio test congiunti con valentino</t>
  </si>
  <si>
    <t>Deployed in prod</t>
  </si>
  <si>
    <t>Settate repliche a 0 e deployato in prod, prossimo a dismissione</t>
  </si>
  <si>
    <t>Under QA Testing</t>
  </si>
  <si>
    <t>HSEQ4All / Smart Flow</t>
  </si>
  <si>
    <t>18/7/2025</t>
  </si>
  <si>
    <t>In attesa di test con Luca Rinelli</t>
  </si>
  <si>
    <t>QA Test required</t>
  </si>
  <si>
    <t>Li stanno testando degli sviluppatori exprivia che conoscono gli applicativi</t>
  </si>
  <si>
    <t>Sbloccato in parte. (Simile a smart flow - bloccato per flow jira)</t>
  </si>
  <si>
    <t>17/07/2025</t>
  </si>
  <si>
    <t>Usa Eventi</t>
  </si>
  <si>
    <t>17/11/2025</t>
  </si>
  <si>
    <t>La migrazione è stata completata ma il file build_script.sh deve divergere dal template perché ha l'insallazione di Java 11 rispetto alla Java 21 prevista dal template stesso. Deployato in dev</t>
  </si>
  <si>
    <t>Antonio</t>
  </si>
  <si>
    <t>19/11/2025</t>
  </si>
  <si>
    <t>Non è stato importato il file ms_datagovernance.json dal template poiché faceva fallire la build nella fase platform update</t>
  </si>
  <si>
    <t>20/11/2025: Bamboo non risponde non posso far partire la build
03/12/2025: Forbidden 403</t>
  </si>
  <si>
    <t>La migrazione è stata completata ma il file build_script.sh deve divergere dal template perché ha l'insallazione di Java 11 rispetto alla Java 21 prevista dal template stesso.
Per ora è stato solo committato perché ci sono delle build in coda</t>
  </si>
  <si>
    <t>Aspettare il team di sviluppo per ripetere la build</t>
  </si>
  <si>
    <t>In corso di sviluppo da parte del team di progetto</t>
  </si>
  <si>
    <t>Francesca</t>
  </si>
  <si>
    <t>In attesa del team di sviluppo per compleatere la migrazione</t>
  </si>
  <si>
    <t>Significato</t>
  </si>
  <si>
    <t>-------------</t>
  </si>
  <si>
    <t>----------------------------------------------------------------------------------------------------------------------</t>
  </si>
  <si>
    <t>[Da rifare]</t>
  </si>
  <si>
    <t>L'attività era stata già completata ma per esigenze esterne e.g. cambio branch di partenza si è dovuta ripetere</t>
  </si>
  <si>
    <t>[Rifatto]</t>
  </si>
  <si>
    <t>L'attività precedentemente descritta come "Da rifare" è stata completata con successo</t>
  </si>
  <si>
    <t>[OK]</t>
  </si>
  <si>
    <t>L'attività è stata completata con successo</t>
  </si>
  <si>
    <t>[X]</t>
  </si>
  <si>
    <t>L'attività non è stata completata e si sta lavorando per capire il problema</t>
  </si>
  <si>
    <t>[Non serve]</t>
  </si>
  <si>
    <t>L'attività è stata precedentemente assegnata e poi, successivamente, tolta. Scrivere nel campo "Note" la motivazione</t>
  </si>
  <si>
    <t>Migrato</t>
  </si>
  <si>
    <t>Buildato</t>
  </si>
  <si>
    <t>Deployato</t>
  </si>
  <si>
    <t>Codice</t>
  </si>
  <si>
    <t>Branch di partenza</t>
  </si>
  <si>
    <t>Branch di migrazione</t>
  </si>
  <si>
    <t>Link Repository</t>
  </si>
  <si>
    <t>Commit</t>
  </si>
  <si>
    <t>Build</t>
  </si>
  <si>
    <t>Note</t>
  </si>
  <si>
    <t>-----------</t>
  </si>
  <si>
    <t>------------</t>
  </si>
  <si>
    <t>---------------------------------</t>
  </si>
  <si>
    <t>-----------------------------</t>
  </si>
  <si>
    <t>-------------------------------------------------------------------------------------------------------------------------</t>
  </si>
  <si>
    <t>------------------------------------------</t>
  </si>
  <si>
    <t>---------------------------------------------------------------------------------------------------------------------------</t>
  </si>
  <si>
    <t>--------------------------------------------------------------------------</t>
  </si>
  <si>
    <t>master</t>
  </si>
  <si>
    <t>migrazione/template_to_1.17</t>
  </si>
  <si>
    <t>https://bitbucket.springlab.enel.com/projects/GLGT-AP35622-MS-PLATFORM/repos/glgt-bp00058-lan-booilcmptanalysis/browse</t>
  </si>
  <si>
    <t>1c3f98fcb8c0c156c5bfa244d452d0bc36d47e15</t>
  </si>
  <si>
    <t>https://bamboo.springlab.enel.com/browse/GLGTAP35622MSPLATFORM-GLGTBP00058DEVBOOILCMPTANALYSISAPPLANCUSTOMV1-BUILDSRC-159</t>
  </si>
  <si>
    <t>Da controllare se ci sono conflitti dal branch di sviluppo attuale</t>
  </si>
  <si>
    <t>[ ]</t>
  </si>
  <si>
    <t>feature/R4_2025</t>
  </si>
  <si>
    <t>921b7d04a2b88df37c56232f1f41b062457c562f</t>
  </si>
  <si>
    <t>Nessun conflitto in data 20/11/2025</t>
  </si>
  <si>
    <t>https://bitbucket.springlab.enel.com/projects/GLGT-AP35622-MS-PLATFORM/repos/glgt-bp00182-lan-bogmi/browse</t>
  </si>
  <si>
    <t>74eba688e6952efd130de69e70f0bf9e62d26acb</t>
  </si>
  <si>
    <t>https://bamboo.springlab.enel.com/browse/GLGTAP35622MSPLATFORM-GLGTBP00182DEVBOGMIAPPLANCUSTOMV1-39</t>
  </si>
  <si>
    <t>https://bitbucket.springlab.enel.com/projects/GLGT-AP35622-MS-PLATFORM/repos/glgt-bp00195-lan-bottoperations/browse</t>
  </si>
  <si>
    <t>4df00a2835d07b01d94ff5c4ea5ca0f7d4f0a9e4</t>
  </si>
  <si>
    <t>https://bamboo.springlab.enel.com/browse/GLGTAP35622MSPLATFORM-GLGTBP00195DEVBOTTOPERATIONSAPPLANCUSTOMV1-BUILDSRC-206</t>
  </si>
  <si>
    <t>Il team di sviluppo ha preso in carico la migrazione per questo servizio</t>
  </si>
  <si>
    <t>https://bitbucket.springlab.enel.com/projects/GLGT-AP35622-MS-PLATFORM/repos/glgt-bp00199-lan-bottadministration/browse</t>
  </si>
  <si>
    <t>----------------------------------------</t>
  </si>
  <si>
    <t>https://bitbucket.springlab.enel.com/projects/GLGT-AP35622-MS-PLATFORM/repos/glgt-bp00200-lan-bottcontract/browse</t>
  </si>
  <si>
    <t>https://bitbucket.springlab.enel.com/projects/GLGT-AP35622-MS-PLATFORM/repos/glgt-bp00212-lan-boinstrmntmgmt/browse</t>
  </si>
  <si>
    <t>9a2aa3d096a47dbb5a5087b702de0cadc0fcc073</t>
  </si>
  <si>
    <t>https://bamboo.springlab.enel.com/browse/GLGTAP35622MSPLATFORM-GLGTBP00212DEVBOINSTRMNTMGMTAPPLANCUSTOMV1-158</t>
  </si>
  <si>
    <t>-----</t>
  </si>
  <si>
    <t>----------</t>
  </si>
  <si>
    <t>---------</t>
  </si>
  <si>
    <t>-------------------------------</t>
  </si>
  <si>
    <t>---------------------------</t>
  </si>
  <si>
    <t>-----------------------------------------------------------------------------------------------------------------------</t>
  </si>
  <si>
    <t>------------------------------------------------------------------------</t>
  </si>
  <si>
    <t>migrazione/template_to_3.33</t>
  </si>
  <si>
    <t>https://bitbucket.springlab.enel.com/projects/GLGT-AP35622-MS-PLATFORM/repos/glgt-mp00399-lan-megmiweb/browse</t>
  </si>
  <si>
    <t>362052c1b01fb760afea0231b53beef85d6c00bf</t>
  </si>
  <si>
    <t>https://bamboo.springlab.enel.com/browse/GLGTAP35622MSPLATFORM-GLGTMP00399DEVMEGMIWEBAPPLANCUSTOMV1-43</t>
  </si>
  <si>
    <t>https://bitbucket.springlab.enel.com/projects/GLGT-AP35622-MS-PLATFORM/repos/glgt-mp00400-lan-megmiboroscopia/browse</t>
  </si>
  <si>
    <t>22244486c8c28a8175927d885301abf9198c2cbb</t>
  </si>
  <si>
    <t>https://bamboo.springlab.enel.com/browse/GLGTAP35622MSPLATFORM-GLGTMP00400DEVMEGMIBOROSCOPIAAPPLANCUSTOMV1-47</t>
  </si>
  <si>
    <t>https://bitbucket.springlab.enel.com/projects/GLGT-AP35622-MS-PLATFORM/repos/glgt-mp00443-lan-megmilogic/browse</t>
  </si>
  <si>
    <t>af56d2698e3722ef718fac8e33237685facfc590</t>
  </si>
  <si>
    <t>https://bamboo.springlab.enel.com/browse/GLGTAP35622MSPLATFORM-GLGTMP00443DEVMEGMILOGICAPPLANCUSTOMV1-TES-84</t>
  </si>
  <si>
    <t>https://bitbucket.springlab.enel.com/projects/GLGT-AP35622-MS-PLATFORM/repos/glgt-mp00489-lan-meargosintegration/browse</t>
  </si>
  <si>
    <t>https://bitbucket.springlab.enel.com/projects/GLGT-AP35622-MS-PLATFORM/repos/glgt-mp00482-lan-meinstrumentation/browse</t>
  </si>
  <si>
    <t>4c495710bbbeb4e78131a57f0c58ef1404bbb546</t>
  </si>
  <si>
    <t>https://bamboo.springlab.enel.com/browse/GLGTAP35622MSPLATFORM-GLGTMP00482DEVMEINSTRUMENTATIONAPPLANCUSTOMV1-424</t>
  </si>
  <si>
    <t>migrazione/template_to_2.36</t>
  </si>
  <si>
    <t>https://bitbucket.springlab.enel.com/projects/GLGT-AP35622-MS-PLATFORM/repos/glgt-mp00453-lan-mettoperations/browse</t>
  </si>
  <si>
    <t>https://bitbucket.springlab.enel.com/projects/GLGT-AP35622-MS-PLATFORM/repos/glgt-mp00461-lan-mettcontract/browse</t>
  </si>
  <si>
    <t>https://bitbucket.springlab.enel.com/projects/GLGT-AP35622-MS-PLATFORM/repos/glgt-mp00462-lan-mettadminstration/browse</t>
  </si>
  <si>
    <t>https://bitbucket.springlab.enel.com/projects/GLGT-AP35622-MS-PLATFORM/repos/glgt-mp00172-lan-meoilcmptanalysis/browse</t>
  </si>
  <si>
    <t>1dcb2278c4b28d377e67915db640f1081cde0f4e</t>
  </si>
  <si>
    <t>https://bamboo.springlab.enel.com/browse/GLGTAP35622MSPLATFORM-GLGTMP00172DEVMEOILCMPTANALYSISAPPLANCUSTOMV1-270</t>
  </si>
  <si>
    <t>feature/DBOIL-0_project-startup</t>
  </si>
  <si>
    <t>8a3439b7dfa38bab9d6db3f87f7a0365c1a2d1d0</t>
  </si>
  <si>
    <t>Nome</t>
  </si>
  <si>
    <t>Versione template</t>
  </si>
  <si>
    <t>Link Template Confluence</t>
  </si>
  <si>
    <t>Link Template Git</t>
  </si>
  <si>
    <t>--------------------</t>
  </si>
  <si>
    <t>-------------------</t>
  </si>
  <si>
    <t>--------------</t>
  </si>
  <si>
    <t>---------------------------------------------------------------------------------------</t>
  </si>
  <si>
    <t>------------------------------------------------------------------------------------------------------------</t>
  </si>
  <si>
    <t>1.17</t>
  </si>
  <si>
    <t>https://confluence.springlab.enel.com/spaces/EPLTCSDTP/pages/766770720/pltb030+-+1.17</t>
  </si>
  <si>
    <t>https://bitbucket.springlab.enel.com/projects/GLIN-DL00001-MS-PLATFORM/repos/glin-pltb030-lan-tb030/browse</t>
  </si>
  <si>
    <t>3.33</t>
  </si>
  <si>
    <t>https://confluence.springlab.enel.com/spaces/EPLTCSDTP/pages/760514982/pltm003+-+3.33</t>
  </si>
  <si>
    <t>https://bitbucket.springlab.enel.com/projects/GLIN-DL00001-MS-PLATFORM/repos/glin-pltm003-lan-tm003/browse</t>
  </si>
  <si>
    <t>2.36</t>
  </si>
  <si>
    <t>https://confluence.springlab.enel.com/spaces/EPLTCSDTP/pages/760522138/pltm006+-+2.36</t>
  </si>
  <si>
    <t>https://bitbucket.springlab.enel.com/projects/GLIN-DL00001-MS-PLATFORM/repos/glin-pltm006-lan-tm006/browse</t>
  </si>
  <si>
    <t>---------------------------------------------------------------------------------------------------------------</t>
  </si>
  <si>
    <t>Il file data governance non è da inserire perché altrimenti la build si rompe nella fase: **platform update**</t>
  </si>
  <si>
    <t>Description</t>
  </si>
  <si>
    <t>Change Date</t>
  </si>
  <si>
    <t>Template di Orchestration without fileover, no restart, serial execution sync result</t>
  </si>
  <si>
    <t>Questo il link alla doc di riferimento della platform con le varie versioni: https://confluence.springlab.enel.com/display/EPLTCSDTP/EDP+-+Releases
Per la versione pre-release: https://confluence.springlab.enel.com/display/PSADOPTIONPUBLIC/EDP-2023.06.SP0-PRE
Una cosa che mi sono dimenticato di accennare, per alcuni servizi abbiamo notato che esistano già dei branch di migrazione rimasti però appesi: andrebbe verificato prima se questi ci sono e già funzionanti, perché così in caso si può risparmiare gran parte del lavoro, mancherebbe solo il merge su master e rifare build+test. Ad es. notavo questo sulla solution rso00101stw:</t>
  </si>
  <si>
    <t>Template di Simple Proxy of an underlying microservice</t>
  </si>
  <si>
    <t>Template of Fast Proxy</t>
  </si>
  <si>
    <t>Template based on Apache Camel technology</t>
  </si>
  <si>
    <t>pltm002-0.3.0</t>
  </si>
  <si>
    <t>Template di Java  Virtual Functionality,  Proxy web services for underlying system, optionally with cache (* in progress)</t>
  </si>
  <si>
    <t>Template di Java  Virtual Entity,  Proxy connector underlying PostgresSql Database optionally with CQRS dynamoDB</t>
  </si>
  <si>
    <t>Template di Java  Virtual Entity,  Proxy connector underlying MongoDB Database, optionally with CQRS dynamoDB</t>
  </si>
  <si>
    <t>pltm007</t>
  </si>
  <si>
    <t>pltm007-0.1.0</t>
  </si>
  <si>
    <t>Template di Java  Virtual Entity,  Proxy connector underlying HBase Database, optionally with CQRS dynamoDB</t>
  </si>
  <si>
    <t>Template di Java Entity,  fully qualified statefull microservices with dynamoDB persistence and S3 ingestor, official domain entity</t>
  </si>
  <si>
    <t>pltm012</t>
  </si>
  <si>
    <t>pltm012-0.5.0</t>
  </si>
  <si>
    <t>Template di Java  Functionality, stateless microservices that provide function</t>
  </si>
  <si>
    <t>pltm028</t>
  </si>
  <si>
    <t>pltm028-0.3.0</t>
  </si>
  <si>
    <t>Python Stateless functionality/ies</t>
  </si>
  <si>
    <t>Template di solution web</t>
  </si>
  <si>
    <t>plts002</t>
  </si>
  <si>
    <t>plts002-0.4.0</t>
  </si>
  <si>
    <t>plts003</t>
  </si>
  <si>
    <t>plts003-0.6.0</t>
  </si>
  <si>
    <t>Template di solution mobile</t>
  </si>
  <si>
    <t>plts005</t>
  </si>
  <si>
    <t>plts005-0.4.0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</si>
</sst>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7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  <charset val="1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  <charset val="1"/>
    </font>
    <font>
      <sz val="11"/>
      <color rgb="FF000000"/>
      <name val="Aptos Narrow"/>
      <family val="2"/>
      <charset val="1"/>
    </font>
    <font>
      <sz val="11"/>
      <color rgb="FF000000"/>
      <name val="Aptos Narrow"/>
    </font>
    <font>
      <b/>
      <sz val="11"/>
      <color rgb="FFFFFFFF"/>
      <name val="Aptos Narrow"/>
      <family val="2"/>
      <charset val="1"/>
    </font>
    <font>
      <b/>
      <sz val="11"/>
      <color rgb="FFFFFFFF"/>
      <name val="Aptos Narrow"/>
    </font>
  </fonts>
  <fills count="1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6B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F81BD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/>
      <top style="thin">
        <color theme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162">
    <xf numFmtId="0" fontId="0" fillId="0" borderId="0" xfId="0"/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2" borderId="3" xfId="0" applyFont="1" applyFill="1" applyBorder="1" applyAlignment="1">
      <alignment wrapText="1"/>
    </xf>
    <xf numFmtId="16" fontId="0" fillId="0" borderId="0" xfId="0" applyNumberFormat="1"/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vertical="center" wrapText="1"/>
    </xf>
    <xf numFmtId="164" fontId="2" fillId="3" borderId="2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14" fontId="2" fillId="5" borderId="2" xfId="0" applyNumberFormat="1" applyFont="1" applyFill="1" applyBorder="1" applyAlignment="1">
      <alignment vertical="center" wrapText="1"/>
    </xf>
    <xf numFmtId="164" fontId="2" fillId="5" borderId="2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wrapText="1"/>
    </xf>
    <xf numFmtId="0" fontId="2" fillId="5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5" borderId="5" xfId="0" applyFill="1" applyBorder="1" applyAlignment="1">
      <alignment horizontal="center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2" fillId="3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0" fillId="5" borderId="6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wrapText="1"/>
    </xf>
    <xf numFmtId="0" fontId="0" fillId="7" borderId="5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/>
    <xf numFmtId="0" fontId="0" fillId="8" borderId="5" xfId="0" applyFill="1" applyBorder="1"/>
    <xf numFmtId="0" fontId="0" fillId="0" borderId="5" xfId="0" applyBorder="1" applyAlignment="1">
      <alignment wrapText="1"/>
    </xf>
    <xf numFmtId="1" fontId="0" fillId="0" borderId="5" xfId="0" applyNumberFormat="1" applyBorder="1"/>
    <xf numFmtId="10" fontId="0" fillId="0" borderId="5" xfId="0" applyNumberFormat="1" applyBorder="1"/>
    <xf numFmtId="1" fontId="8" fillId="6" borderId="5" xfId="0" applyNumberFormat="1" applyFont="1" applyFill="1" applyBorder="1"/>
    <xf numFmtId="1" fontId="8" fillId="6" borderId="5" xfId="0" applyNumberFormat="1" applyFont="1" applyFill="1" applyBorder="1" applyAlignment="1">
      <alignment wrapText="1"/>
    </xf>
    <xf numFmtId="0" fontId="8" fillId="6" borderId="5" xfId="0" applyFont="1" applyFill="1" applyBorder="1"/>
    <xf numFmtId="0" fontId="0" fillId="7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4" fillId="8" borderId="5" xfId="0" applyFont="1" applyFill="1" applyBorder="1" applyAlignment="1">
      <alignment vertical="center"/>
    </xf>
    <xf numFmtId="0" fontId="0" fillId="8" borderId="5" xfId="0" applyFill="1" applyBorder="1" applyAlignment="1">
      <alignment horizontal="center" vertical="center"/>
    </xf>
    <xf numFmtId="0" fontId="0" fillId="8" borderId="5" xfId="0" applyFill="1" applyBorder="1" applyAlignment="1">
      <alignment vertical="center"/>
    </xf>
    <xf numFmtId="0" fontId="0" fillId="8" borderId="5" xfId="0" applyFill="1" applyBorder="1" applyAlignment="1">
      <alignment vertical="center" wrapText="1"/>
    </xf>
    <xf numFmtId="0" fontId="4" fillId="9" borderId="5" xfId="0" applyFont="1" applyFill="1" applyBorder="1" applyAlignment="1">
      <alignment vertical="center"/>
    </xf>
    <xf numFmtId="0" fontId="0" fillId="9" borderId="5" xfId="0" applyFill="1" applyBorder="1" applyAlignment="1">
      <alignment horizontal="center" vertical="center"/>
    </xf>
    <xf numFmtId="0" fontId="0" fillId="9" borderId="5" xfId="0" applyFill="1" applyBorder="1" applyAlignment="1">
      <alignment vertical="center"/>
    </xf>
    <xf numFmtId="0" fontId="0" fillId="9" borderId="5" xfId="0" applyFill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0" fontId="0" fillId="8" borderId="0" xfId="0" applyFill="1" applyAlignment="1">
      <alignment vertical="center" wrapText="1"/>
    </xf>
    <xf numFmtId="0" fontId="4" fillId="8" borderId="5" xfId="0" applyFont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8" borderId="5" xfId="0" applyFill="1" applyBorder="1" applyAlignment="1">
      <alignment horizontal="left" vertical="center"/>
    </xf>
    <xf numFmtId="14" fontId="0" fillId="8" borderId="5" xfId="0" applyNumberFormat="1" applyFill="1" applyBorder="1" applyAlignment="1">
      <alignment horizontal="left" vertical="center"/>
    </xf>
    <xf numFmtId="0" fontId="0" fillId="9" borderId="5" xfId="0" applyFill="1" applyBorder="1" applyAlignment="1">
      <alignment horizontal="left" vertical="center"/>
    </xf>
    <xf numFmtId="0" fontId="0" fillId="0" borderId="7" xfId="0" applyBorder="1"/>
    <xf numFmtId="0" fontId="5" fillId="6" borderId="8" xfId="0" applyFont="1" applyFill="1" applyBorder="1"/>
    <xf numFmtId="0" fontId="1" fillId="2" borderId="8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wrapText="1"/>
    </xf>
    <xf numFmtId="0" fontId="8" fillId="6" borderId="8" xfId="0" applyFont="1" applyFill="1" applyBorder="1"/>
    <xf numFmtId="0" fontId="8" fillId="6" borderId="9" xfId="0" applyFont="1" applyFill="1" applyBorder="1"/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8" fillId="0" borderId="10" xfId="0" applyFont="1" applyBorder="1"/>
    <xf numFmtId="0" fontId="0" fillId="8" borderId="5" xfId="0" applyFill="1" applyBorder="1" applyAlignment="1">
      <alignment horizontal="center"/>
    </xf>
    <xf numFmtId="0" fontId="0" fillId="8" borderId="5" xfId="0" applyFill="1" applyBorder="1" applyAlignment="1">
      <alignment horizontal="left"/>
    </xf>
    <xf numFmtId="14" fontId="0" fillId="8" borderId="5" xfId="0" applyNumberFormat="1" applyFill="1" applyBorder="1"/>
    <xf numFmtId="0" fontId="0" fillId="8" borderId="5" xfId="0" applyFill="1" applyBorder="1" applyAlignment="1">
      <alignment horizontal="right"/>
    </xf>
    <xf numFmtId="0" fontId="0" fillId="8" borderId="5" xfId="0" applyFill="1" applyBorder="1" applyAlignment="1">
      <alignment wrapText="1"/>
    </xf>
    <xf numFmtId="0" fontId="0" fillId="3" borderId="5" xfId="0" applyFill="1" applyBorder="1" applyAlignment="1">
      <alignment vertical="center" wrapText="1"/>
    </xf>
    <xf numFmtId="0" fontId="4" fillId="10" borderId="5" xfId="0" applyFont="1" applyFill="1" applyBorder="1" applyAlignment="1">
      <alignment vertical="center"/>
    </xf>
    <xf numFmtId="0" fontId="0" fillId="10" borderId="5" xfId="0" applyFill="1" applyBorder="1" applyAlignment="1">
      <alignment horizontal="center" vertical="center"/>
    </xf>
    <xf numFmtId="14" fontId="0" fillId="10" borderId="5" xfId="0" applyNumberFormat="1" applyFill="1" applyBorder="1" applyAlignment="1">
      <alignment horizontal="left" vertical="center"/>
    </xf>
    <xf numFmtId="0" fontId="0" fillId="10" borderId="5" xfId="0" applyFill="1" applyBorder="1" applyAlignment="1">
      <alignment horizontal="left" vertical="center"/>
    </xf>
    <xf numFmtId="0" fontId="0" fillId="10" borderId="5" xfId="0" applyFill="1" applyBorder="1" applyAlignment="1">
      <alignment vertical="center"/>
    </xf>
    <xf numFmtId="0" fontId="0" fillId="10" borderId="5" xfId="0" applyFill="1" applyBorder="1" applyAlignment="1">
      <alignment vertical="center" wrapText="1"/>
    </xf>
    <xf numFmtId="0" fontId="0" fillId="0" borderId="6" xfId="0" applyBorder="1"/>
    <xf numFmtId="0" fontId="0" fillId="0" borderId="11" xfId="0" applyBorder="1"/>
    <xf numFmtId="0" fontId="0" fillId="3" borderId="5" xfId="0" applyFill="1" applyBorder="1" applyAlignment="1">
      <alignment horizontal="left" vertical="center" wrapText="1"/>
    </xf>
    <xf numFmtId="0" fontId="4" fillId="0" borderId="10" xfId="0" applyFont="1" applyBorder="1"/>
    <xf numFmtId="0" fontId="4" fillId="0" borderId="9" xfId="0" applyFont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0" fillId="8" borderId="6" xfId="0" applyFont="1" applyFill="1" applyBorder="1"/>
    <xf numFmtId="0" fontId="4" fillId="0" borderId="12" xfId="0" applyFont="1" applyBorder="1"/>
    <xf numFmtId="0" fontId="4" fillId="0" borderId="15" xfId="0" applyFont="1" applyBorder="1"/>
    <xf numFmtId="0" fontId="4" fillId="0" borderId="5" xfId="0" applyFont="1" applyBorder="1"/>
    <xf numFmtId="0" fontId="11" fillId="10" borderId="5" xfId="0" applyFont="1" applyFill="1" applyBorder="1" applyAlignment="1">
      <alignment vertical="center"/>
    </xf>
    <xf numFmtId="0" fontId="12" fillId="10" borderId="5" xfId="0" applyFont="1" applyFill="1" applyBorder="1" applyAlignment="1">
      <alignment vertical="center" wrapText="1"/>
    </xf>
    <xf numFmtId="0" fontId="2" fillId="10" borderId="5" xfId="0" applyFont="1" applyFill="1" applyBorder="1" applyAlignment="1">
      <alignment vertical="center" wrapText="1"/>
    </xf>
    <xf numFmtId="14" fontId="0" fillId="0" borderId="5" xfId="0" applyNumberFormat="1" applyBorder="1"/>
    <xf numFmtId="14" fontId="0" fillId="0" borderId="6" xfId="0" applyNumberFormat="1" applyBorder="1"/>
    <xf numFmtId="0" fontId="0" fillId="0" borderId="13" xfId="0" applyBorder="1"/>
    <xf numFmtId="0" fontId="10" fillId="8" borderId="6" xfId="0" applyFont="1" applyFill="1" applyBorder="1" applyAlignment="1">
      <alignment horizontal="center"/>
    </xf>
    <xf numFmtId="14" fontId="10" fillId="8" borderId="6" xfId="0" applyNumberFormat="1" applyFont="1" applyFill="1" applyBorder="1"/>
    <xf numFmtId="0" fontId="10" fillId="8" borderId="6" xfId="0" applyFont="1" applyFill="1" applyBorder="1" applyAlignment="1">
      <alignment wrapText="1"/>
    </xf>
    <xf numFmtId="0" fontId="4" fillId="8" borderId="5" xfId="0" applyFont="1" applyFill="1" applyBorder="1"/>
    <xf numFmtId="14" fontId="9" fillId="8" borderId="5" xfId="1" applyNumberFormat="1" applyFill="1" applyBorder="1"/>
    <xf numFmtId="0" fontId="4" fillId="8" borderId="10" xfId="0" applyFont="1" applyFill="1" applyBorder="1"/>
    <xf numFmtId="0" fontId="4" fillId="8" borderId="8" xfId="0" applyFont="1" applyFill="1" applyBorder="1"/>
    <xf numFmtId="0" fontId="4" fillId="8" borderId="12" xfId="0" applyFont="1" applyFill="1" applyBorder="1"/>
    <xf numFmtId="0" fontId="0" fillId="8" borderId="15" xfId="0" applyFill="1" applyBorder="1" applyAlignment="1">
      <alignment horizontal="center"/>
    </xf>
    <xf numFmtId="14" fontId="0" fillId="8" borderId="8" xfId="0" applyNumberFormat="1" applyFill="1" applyBorder="1"/>
    <xf numFmtId="0" fontId="0" fillId="8" borderId="8" xfId="0" applyFill="1" applyBorder="1"/>
    <xf numFmtId="0" fontId="0" fillId="8" borderId="13" xfId="0" applyFill="1" applyBorder="1" applyAlignment="1">
      <alignment horizontal="center"/>
    </xf>
    <xf numFmtId="0" fontId="8" fillId="6" borderId="5" xfId="0" applyFont="1" applyFill="1" applyBorder="1" applyAlignment="1">
      <alignment wrapText="1"/>
    </xf>
    <xf numFmtId="0" fontId="0" fillId="8" borderId="5" xfId="0" applyFill="1" applyBorder="1" applyAlignment="1">
      <alignment horizontal="right" vertical="center"/>
    </xf>
    <xf numFmtId="14" fontId="0" fillId="8" borderId="5" xfId="0" applyNumberFormat="1" applyFill="1" applyBorder="1" applyAlignment="1">
      <alignment vertical="center"/>
    </xf>
    <xf numFmtId="0" fontId="7" fillId="0" borderId="0" xfId="0" applyFont="1"/>
    <xf numFmtId="0" fontId="5" fillId="6" borderId="5" xfId="0" applyFont="1" applyFill="1" applyBorder="1"/>
    <xf numFmtId="0" fontId="1" fillId="2" borderId="5" xfId="0" applyFont="1" applyFill="1" applyBorder="1" applyAlignment="1">
      <alignment wrapText="1"/>
    </xf>
    <xf numFmtId="0" fontId="0" fillId="8" borderId="20" xfId="0" applyFill="1" applyBorder="1" applyAlignment="1">
      <alignment vertical="center" wrapText="1"/>
    </xf>
    <xf numFmtId="0" fontId="13" fillId="0" borderId="5" xfId="0" applyFont="1" applyBorder="1" applyAlignment="1">
      <alignment vertical="center"/>
    </xf>
    <xf numFmtId="9" fontId="0" fillId="0" borderId="0" xfId="0" applyNumberFormat="1"/>
    <xf numFmtId="0" fontId="8" fillId="6" borderId="0" xfId="0" applyFont="1" applyFill="1"/>
    <xf numFmtId="0" fontId="4" fillId="8" borderId="17" xfId="0" applyFont="1" applyFill="1" applyBorder="1"/>
    <xf numFmtId="0" fontId="4" fillId="8" borderId="16" xfId="0" applyFont="1" applyFill="1" applyBorder="1"/>
    <xf numFmtId="0" fontId="0" fillId="8" borderId="16" xfId="0" applyFill="1" applyBorder="1"/>
    <xf numFmtId="0" fontId="14" fillId="8" borderId="5" xfId="0" applyFont="1" applyFill="1" applyBorder="1" applyAlignment="1">
      <alignment vertical="center"/>
    </xf>
    <xf numFmtId="0" fontId="14" fillId="8" borderId="5" xfId="0" applyFont="1" applyFill="1" applyBorder="1" applyAlignment="1">
      <alignment vertical="center" wrapText="1"/>
    </xf>
    <xf numFmtId="0" fontId="7" fillId="0" borderId="0" xfId="0" applyFont="1" applyAlignment="1">
      <alignment wrapText="1"/>
    </xf>
    <xf numFmtId="0" fontId="0" fillId="8" borderId="13" xfId="0" applyFill="1" applyBorder="1"/>
    <xf numFmtId="0" fontId="0" fillId="3" borderId="0" xfId="0" applyFill="1"/>
    <xf numFmtId="0" fontId="4" fillId="8" borderId="18" xfId="0" applyFont="1" applyFill="1" applyBorder="1"/>
    <xf numFmtId="0" fontId="0" fillId="8" borderId="19" xfId="0" applyFill="1" applyBorder="1"/>
    <xf numFmtId="0" fontId="15" fillId="6" borderId="21" xfId="0" applyFont="1" applyFill="1" applyBorder="1" applyAlignment="1">
      <alignment wrapText="1"/>
    </xf>
    <xf numFmtId="1" fontId="0" fillId="0" borderId="5" xfId="0" applyNumberFormat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13" fillId="11" borderId="5" xfId="0" applyFont="1" applyFill="1" applyBorder="1" applyAlignment="1">
      <alignment vertical="center" wrapText="1"/>
    </xf>
    <xf numFmtId="0" fontId="0" fillId="12" borderId="5" xfId="0" applyFill="1" applyBorder="1" applyAlignment="1">
      <alignment vertical="center" wrapText="1"/>
    </xf>
    <xf numFmtId="0" fontId="1" fillId="13" borderId="1" xfId="0" applyFont="1" applyFill="1" applyBorder="1" applyAlignment="1">
      <alignment vertical="center" wrapText="1"/>
    </xf>
    <xf numFmtId="0" fontId="13" fillId="13" borderId="5" xfId="0" applyFont="1" applyFill="1" applyBorder="1" applyAlignment="1">
      <alignment vertical="center" wrapText="1"/>
    </xf>
    <xf numFmtId="0" fontId="0" fillId="13" borderId="5" xfId="0" applyFill="1" applyBorder="1" applyAlignment="1">
      <alignment vertical="center"/>
    </xf>
    <xf numFmtId="0" fontId="0" fillId="13" borderId="5" xfId="0" applyFill="1" applyBorder="1" applyAlignment="1">
      <alignment vertical="center" wrapText="1"/>
    </xf>
    <xf numFmtId="0" fontId="0" fillId="14" borderId="5" xfId="0" applyFill="1" applyBorder="1" applyAlignment="1">
      <alignment vertical="center" wrapText="1"/>
    </xf>
    <xf numFmtId="0" fontId="13" fillId="14" borderId="5" xfId="0" applyFont="1" applyFill="1" applyBorder="1" applyAlignment="1">
      <alignment vertical="center" wrapText="1"/>
    </xf>
    <xf numFmtId="0" fontId="0" fillId="14" borderId="5" xfId="0" applyFill="1" applyBorder="1" applyAlignment="1">
      <alignment vertical="center"/>
    </xf>
    <xf numFmtId="0" fontId="0" fillId="11" borderId="5" xfId="0" applyFill="1" applyBorder="1" applyAlignment="1">
      <alignment vertical="center"/>
    </xf>
    <xf numFmtId="0" fontId="0" fillId="11" borderId="5" xfId="0" applyFill="1" applyBorder="1" applyAlignment="1">
      <alignment vertical="center" wrapText="1"/>
    </xf>
    <xf numFmtId="0" fontId="16" fillId="15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16" borderId="22" xfId="0" applyFill="1" applyBorder="1" applyAlignment="1">
      <alignment horizontal="center" vertical="center"/>
    </xf>
    <xf numFmtId="0" fontId="0" fillId="17" borderId="22" xfId="0" applyFill="1" applyBorder="1" applyAlignment="1">
      <alignment horizontal="center" vertical="center"/>
    </xf>
    <xf numFmtId="0" fontId="9" fillId="0" borderId="0" xfId="1"/>
    <xf numFmtId="14" fontId="0" fillId="13" borderId="5" xfId="0" applyNumberFormat="1" applyFill="1" applyBorder="1" applyAlignment="1">
      <alignment horizontal="left" vertical="center"/>
    </xf>
    <xf numFmtId="0" fontId="0" fillId="13" borderId="5" xfId="0" applyFill="1" applyBorder="1" applyAlignment="1">
      <alignment horizontal="left" vertical="center"/>
    </xf>
    <xf numFmtId="0" fontId="0" fillId="11" borderId="5" xfId="0" applyFill="1" applyBorder="1" applyAlignment="1">
      <alignment horizontal="left" vertical="center"/>
    </xf>
    <xf numFmtId="0" fontId="0" fillId="14" borderId="5" xfId="0" applyFill="1" applyBorder="1" applyAlignment="1">
      <alignment horizontal="left" vertical="center"/>
    </xf>
  </cellXfs>
  <cellStyles count="2">
    <cellStyle name="Hyperlink" xfId="1" xr:uid="{00000000-0005-0000-0000-000001000000}"/>
    <cellStyle name="Normale" xfId="0" builtinId="0"/>
  </cellStyles>
  <dxfs count="5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charset val="1"/>
      </font>
      <fill>
        <patternFill>
          <fgColor indexed="64"/>
          <bgColor rgb="FFDAF2D0"/>
        </patternFill>
      </fill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charset val="1"/>
      </font>
      <fill>
        <patternFill>
          <fgColor indexed="64"/>
          <bgColor rgb="FFDAF2D0"/>
        </patternFill>
      </fill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charset val="1"/>
      </font>
      <fill>
        <patternFill>
          <fgColor indexed="64"/>
          <bgColor rgb="FFDAF2D0"/>
        </patternFill>
      </fill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charset val="1"/>
      </font>
      <fill>
        <patternFill>
          <fgColor indexed="64"/>
          <bgColor rgb="FFDAF2D0"/>
        </patternFill>
      </fill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charset val="1"/>
      </font>
      <fill>
        <patternFill>
          <fgColor indexed="64"/>
          <bgColor rgb="FFDAF2D0"/>
        </patternFill>
      </fill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medium">
          <color auto="1"/>
        </left>
      </border>
    </dxf>
    <dxf>
      <alignment horizontal="general" vertical="center"/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general" vertical="bottom"/>
      <border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border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indexed="64"/>
          <bgColor theme="9" tint="0.59999389629810485"/>
        </patternFill>
      </fill>
      <alignment vertical="center"/>
    </dxf>
    <dxf>
      <fill>
        <patternFill patternType="solid">
          <fgColor indexed="64"/>
          <bgColor theme="9" tint="0.59999389629810485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/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numFmt numFmtId="19" formatCode="dd/mm/yyyy"/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numFmt numFmtId="19" formatCode="dd/mm/yyyy"/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fill>
        <patternFill patternType="solid">
          <fgColor indexed="64"/>
          <bgColor theme="9" tint="0.59999389629810485"/>
        </patternFill>
      </fill>
      <alignment horizontal="center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charset val="1"/>
      </font>
      <fill>
        <patternFill patternType="solid">
          <fgColor indexed="64"/>
          <bgColor theme="9" tint="0.59999389629810485"/>
        </patternFill>
      </fill>
      <alignment horizontal="general" vertical="center" wrapText="1"/>
      <border>
        <left/>
        <right style="medium">
          <color auto="1"/>
        </right>
        <top/>
        <bottom style="medium">
          <color auto="1"/>
        </bottom>
        <vertical/>
        <horizontal/>
      </border>
    </dxf>
    <dxf>
      <border outline="0">
        <left style="medium">
          <color auto="1"/>
        </left>
        <right style="medium">
          <color auto="1"/>
        </right>
        <bottom style="medium">
          <color auto="1"/>
        </bottom>
      </border>
    </dxf>
    <dxf>
      <fill>
        <patternFill patternType="solid">
          <fgColor indexed="64"/>
          <bgColor theme="9" tint="0.59999389629810485"/>
        </patternFill>
      </fill>
      <alignment vertical="center"/>
    </dxf>
    <dxf>
      <border outline="0">
        <bottom style="medium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charset val="1"/>
      </font>
      <fill>
        <patternFill patternType="solid">
          <fgColor indexed="64"/>
          <bgColor rgb="FF000000"/>
        </patternFill>
      </fill>
      <alignment horizontal="general" vertical="center" wrapText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4:M39" totalsRowShown="0" headerRowDxfId="54" dataDxfId="52" headerRowBorderDxfId="53" tableBorderDxfId="51">
  <autoFilter ref="A34:M39" xr:uid="{00000000-0009-0000-0100-000001000000}"/>
  <sortState xmlns:xlrd2="http://schemas.microsoft.com/office/spreadsheetml/2017/richdata2" ref="A35:K39">
    <sortCondition ref="F34:F39"/>
  </sortState>
  <tableColumns count="13">
    <tableColumn id="1" xr3:uid="{00000000-0010-0000-0000-000001000000}" name="Code" dataDxfId="50"/>
    <tableColumn id="2" xr3:uid="{00000000-0010-0000-0000-000002000000}" name="Name" dataDxfId="49"/>
    <tableColumn id="3" xr3:uid="{00000000-0010-0000-0000-000003000000}" name="Type" dataDxfId="48"/>
    <tableColumn id="4" xr3:uid="{00000000-0010-0000-0000-000004000000}" name="Template" dataDxfId="47"/>
    <tableColumn id="5" xr3:uid="{00000000-0010-0000-0000-000005000000}" name="ID Template" dataDxfId="46"/>
    <tableColumn id="6" xr3:uid="{00000000-0010-0000-0000-000006000000}" name="Project" dataDxfId="45"/>
    <tableColumn id="7" xr3:uid="{00000000-0010-0000-0000-000007000000}" name="Priority" dataDxfId="44"/>
    <tableColumn id="8" xr3:uid="{00000000-0010-0000-0000-000008000000}" name="Migration Start Date" dataDxfId="43"/>
    <tableColumn id="9" xr3:uid="{00000000-0010-0000-0000-000009000000}" name="Migration End Date" dataDxfId="42"/>
    <tableColumn id="10" xr3:uid="{00000000-0010-0000-0000-00000A000000}" name="Migration Status" dataDxfId="41">
      <calculatedColumnFormula>IF(ISBLANK(H35), "Not yet started", IF(ISBLANK(I35),"In progress", "Done"))</calculatedColumnFormula>
    </tableColumn>
    <tableColumn id="11" xr3:uid="{00000000-0010-0000-0000-00000B000000}" name="Notes" dataDxfId="40"/>
    <tableColumn id="12" xr3:uid="{00000000-0010-0000-0000-00000C000000}" name="Colonna1" dataDxfId="39"/>
    <tableColumn id="13" xr3:uid="{00000000-0010-0000-0000-00000D000000}" name="Colonna2" dataDxfId="3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O108" totalsRowShown="0" headerRowDxfId="37" headerRowBorderDxfId="36" tableBorderDxfId="35">
  <autoFilter ref="A1:O108" xr:uid="{00000000-0009-0000-0100-000002000000}">
    <filterColumn colId="4">
      <filters>
        <filter val="Conceptual Solar"/>
      </filters>
    </filterColumn>
  </autoFilter>
  <tableColumns count="15">
    <tableColumn id="1" xr3:uid="{00000000-0010-0000-0100-000001000000}" name="Code" dataDxfId="34"/>
    <tableColumn id="2" xr3:uid="{00000000-0010-0000-0100-000002000000}" name="Name" dataDxfId="33"/>
    <tableColumn id="3" xr3:uid="{00000000-0010-0000-0100-000003000000}" name="Type" dataDxfId="32"/>
    <tableColumn id="4" xr3:uid="{00000000-0010-0000-0100-000004000000}" name="Template" dataDxfId="31"/>
    <tableColumn id="5" xr3:uid="{00000000-0010-0000-0100-000005000000}" name="Project" dataDxfId="30"/>
    <tableColumn id="6" xr3:uid="{00000000-0010-0000-0100-000006000000}" name="Usa eventi" dataDxfId="29"/>
    <tableColumn id="7" xr3:uid="{00000000-0010-0000-0100-000007000000}" name="Java Version" dataDxfId="28"/>
    <tableColumn id="8" xr3:uid="{00000000-0010-0000-0100-000008000000}" name="Priority" dataDxfId="27"/>
    <tableColumn id="9" xr3:uid="{00000000-0010-0000-0100-000009000000}" name="Migration Start Date" dataDxfId="26"/>
    <tableColumn id="10" xr3:uid="{00000000-0010-0000-0100-00000A000000}" name="Migration End Date" dataDxfId="25"/>
    <tableColumn id="11" xr3:uid="{00000000-0010-0000-0100-00000B000000}" name="Migration Status" dataDxfId="24"/>
    <tableColumn id="12" xr3:uid="{00000000-0010-0000-0100-00000C000000}" name="Migration Notes" dataDxfId="23"/>
    <tableColumn id="13" xr3:uid="{00000000-0010-0000-0100-00000D000000}" name="Owner" dataDxfId="22"/>
    <tableColumn id="14" xr3:uid="{00000000-0010-0000-0100-00000E000000}" name="Internal Notes" dataDxfId="21"/>
    <tableColumn id="15" xr3:uid="{00000000-0010-0000-0100-00000F000000}" name="External Requests" dataDxfId="2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A1:O16" totalsRowShown="0" dataDxfId="19" tableBorderDxfId="18">
  <autoFilter ref="A1:O16" xr:uid="{00000000-0009-0000-0100-000003000000}"/>
  <tableColumns count="15">
    <tableColumn id="1" xr3:uid="{00000000-0010-0000-0200-000001000000}" name="Code" dataDxfId="17"/>
    <tableColumn id="2" xr3:uid="{00000000-0010-0000-0200-000002000000}" name="Name" dataDxfId="16"/>
    <tableColumn id="3" xr3:uid="{00000000-0010-0000-0200-000003000000}" name="Type" dataDxfId="15"/>
    <tableColumn id="4" xr3:uid="{00000000-0010-0000-0200-000004000000}" name="Template" dataDxfId="14"/>
    <tableColumn id="5" xr3:uid="{00000000-0010-0000-0200-000005000000}" name="Project" dataDxfId="13"/>
    <tableColumn id="6" xr3:uid="{00000000-0010-0000-0200-000006000000}" name="Usa Eventi" dataDxfId="12"/>
    <tableColumn id="7" xr3:uid="{00000000-0010-0000-0200-000007000000}" name="Java Version" dataDxfId="11"/>
    <tableColumn id="8" xr3:uid="{00000000-0010-0000-0200-000008000000}" name="Priority" dataDxfId="10"/>
    <tableColumn id="9" xr3:uid="{00000000-0010-0000-0200-000009000000}" name="Migration Start Date" dataDxfId="9"/>
    <tableColumn id="10" xr3:uid="{00000000-0010-0000-0200-00000A000000}" name="Migration End Date" dataDxfId="8"/>
    <tableColumn id="11" xr3:uid="{00000000-0010-0000-0200-00000B000000}" name="Migration Status" dataDxfId="7"/>
    <tableColumn id="12" xr3:uid="{00000000-0010-0000-0200-00000C000000}" name="Migration Notes" dataDxfId="6"/>
    <tableColumn id="13" xr3:uid="{00000000-0010-0000-0200-00000D000000}" name="Owner" dataDxfId="5"/>
    <tableColumn id="14" xr3:uid="{00000000-0010-0000-0200-00000E000000}" name="Internal Notes" dataDxfId="4"/>
    <tableColumn id="15" xr3:uid="{00000000-0010-0000-0200-00000F000000}" name="External Requests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bamboo.springlab.enel.com/browse/GLGTAP35622MSPLATFORM-GLGTMP00399DEVMEGMIWEBAPPLANCUSTOMV1-43" TargetMode="External"/><Relationship Id="rId2" Type="http://schemas.openxmlformats.org/officeDocument/2006/relationships/hyperlink" Target="https://bamboo.springlab.enel.com/browse/GLGTAP35622MSPLATFORM-GLGTBP00212DEVBOINSTRMNTMGMTAPPLANCUSTOMV1-158" TargetMode="External"/><Relationship Id="rId1" Type="http://schemas.openxmlformats.org/officeDocument/2006/relationships/hyperlink" Target="https://bamboo.springlab.enel.com/browse/GLGTAP35622MSPLATFORM-GLGTBP00182DEVBOGMIAPPLANCUSTOMV1-39" TargetMode="External"/><Relationship Id="rId5" Type="http://schemas.openxmlformats.org/officeDocument/2006/relationships/table" Target="../tables/table3.xml"/><Relationship Id="rId4" Type="http://schemas.openxmlformats.org/officeDocument/2006/relationships/hyperlink" Target="https://bamboo.springlab.enel.com/browse/GLGTAP35622MSPLATFORM-GLGTMP00400DEVMEGMIBOROSCOPIAAPPLANCUSTOMV1-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workbookViewId="0"/>
  </sheetViews>
  <sheetFormatPr defaultRowHeight="15" x14ac:dyDescent="0.25"/>
  <cols>
    <col min="2" max="2" width="25" customWidth="1"/>
    <col min="3" max="3" width="7.42578125" customWidth="1"/>
    <col min="4" max="4" width="11.42578125" bestFit="1" customWidth="1"/>
    <col min="5" max="5" width="17.5703125" customWidth="1"/>
    <col min="6" max="6" width="19.42578125" customWidth="1"/>
    <col min="7" max="7" width="11.140625" customWidth="1"/>
    <col min="8" max="8" width="22.85546875" customWidth="1"/>
    <col min="9" max="9" width="23.42578125" customWidth="1"/>
    <col min="10" max="10" width="18" customWidth="1"/>
    <col min="11" max="11" width="58" customWidth="1"/>
    <col min="12" max="12" width="27.85546875" style="31" customWidth="1"/>
    <col min="13" max="13" width="17.28515625" style="31" bestFit="1" customWidth="1"/>
    <col min="15" max="15" width="36.5703125" bestFit="1" customWidth="1"/>
  </cols>
  <sheetData>
    <row r="1" spans="1:15" ht="21" customHeight="1" x14ac:dyDescent="0.25">
      <c r="A1" s="14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3" t="s">
        <v>11</v>
      </c>
      <c r="M1" s="34" t="s">
        <v>12</v>
      </c>
    </row>
    <row r="2" spans="1:15" ht="45" customHeight="1" x14ac:dyDescent="0.25">
      <c r="A2" s="20" t="s">
        <v>13</v>
      </c>
      <c r="B2" s="21" t="s">
        <v>14</v>
      </c>
      <c r="C2" s="21" t="s">
        <v>15</v>
      </c>
      <c r="D2" s="21" t="s">
        <v>16</v>
      </c>
      <c r="E2" s="21" t="s">
        <v>17</v>
      </c>
      <c r="F2" s="21" t="s">
        <v>18</v>
      </c>
      <c r="G2" s="22" t="s">
        <v>19</v>
      </c>
      <c r="H2" s="23">
        <v>45727</v>
      </c>
      <c r="I2" s="24">
        <v>45740</v>
      </c>
      <c r="J2" s="21" t="str">
        <f t="shared" ref="J2:J19" si="0">IF(ISBLANK(H2), "Not yet started", IF(ISBLANK(I2),"In progress", "Done"))</f>
        <v>Done</v>
      </c>
      <c r="K2" s="26" t="s">
        <v>20</v>
      </c>
      <c r="L2" s="38" t="s">
        <v>21</v>
      </c>
      <c r="M2" s="38" t="s">
        <v>22</v>
      </c>
    </row>
    <row r="3" spans="1:15" ht="45" customHeight="1" x14ac:dyDescent="0.25">
      <c r="A3" s="20" t="s">
        <v>23</v>
      </c>
      <c r="B3" s="21" t="s">
        <v>24</v>
      </c>
      <c r="C3" s="21" t="s">
        <v>15</v>
      </c>
      <c r="D3" s="21" t="s">
        <v>16</v>
      </c>
      <c r="E3" s="21" t="s">
        <v>17</v>
      </c>
      <c r="F3" s="21" t="s">
        <v>18</v>
      </c>
      <c r="G3" s="22" t="s">
        <v>19</v>
      </c>
      <c r="H3" s="23">
        <v>45727</v>
      </c>
      <c r="I3" s="24">
        <v>45728</v>
      </c>
      <c r="J3" s="21" t="str">
        <f t="shared" si="0"/>
        <v>Done</v>
      </c>
      <c r="K3" s="26" t="s">
        <v>20</v>
      </c>
      <c r="L3" s="32" t="s">
        <v>21</v>
      </c>
      <c r="M3" s="32" t="s">
        <v>22</v>
      </c>
    </row>
    <row r="4" spans="1:15" ht="45" customHeight="1" x14ac:dyDescent="0.25">
      <c r="A4" s="20" t="s">
        <v>25</v>
      </c>
      <c r="B4" s="21" t="s">
        <v>26</v>
      </c>
      <c r="C4" s="21" t="s">
        <v>15</v>
      </c>
      <c r="D4" s="21" t="s">
        <v>16</v>
      </c>
      <c r="E4" s="21" t="s">
        <v>17</v>
      </c>
      <c r="F4" s="21" t="s">
        <v>18</v>
      </c>
      <c r="G4" s="22" t="s">
        <v>19</v>
      </c>
      <c r="H4" s="23">
        <v>45729</v>
      </c>
      <c r="I4" s="24">
        <v>45744</v>
      </c>
      <c r="J4" s="21" t="str">
        <f t="shared" si="0"/>
        <v>Done</v>
      </c>
      <c r="K4" s="26" t="s">
        <v>20</v>
      </c>
      <c r="L4" s="32" t="s">
        <v>21</v>
      </c>
      <c r="M4" s="32" t="s">
        <v>22</v>
      </c>
    </row>
    <row r="5" spans="1:15" ht="45" customHeight="1" x14ac:dyDescent="0.25">
      <c r="A5" s="11" t="s">
        <v>27</v>
      </c>
      <c r="B5" s="12" t="s">
        <v>28</v>
      </c>
      <c r="C5" s="12" t="s">
        <v>15</v>
      </c>
      <c r="D5" s="12" t="s">
        <v>16</v>
      </c>
      <c r="E5" s="12" t="s">
        <v>17</v>
      </c>
      <c r="F5" s="12" t="s">
        <v>29</v>
      </c>
      <c r="G5" s="13" t="s">
        <v>30</v>
      </c>
      <c r="H5" s="14">
        <v>45734</v>
      </c>
      <c r="I5" s="15"/>
      <c r="J5" s="12" t="str">
        <f t="shared" si="0"/>
        <v>In progress</v>
      </c>
      <c r="K5" s="36" t="s">
        <v>31</v>
      </c>
      <c r="L5" s="35"/>
      <c r="M5" s="35"/>
    </row>
    <row r="6" spans="1:15" ht="45" customHeight="1" x14ac:dyDescent="0.25">
      <c r="A6" s="20" t="s">
        <v>32</v>
      </c>
      <c r="B6" s="21" t="s">
        <v>33</v>
      </c>
      <c r="C6" s="21" t="s">
        <v>15</v>
      </c>
      <c r="D6" s="21" t="s">
        <v>16</v>
      </c>
      <c r="E6" s="21" t="s">
        <v>17</v>
      </c>
      <c r="F6" s="21" t="s">
        <v>29</v>
      </c>
      <c r="G6" s="22" t="s">
        <v>30</v>
      </c>
      <c r="H6" s="23">
        <v>45733</v>
      </c>
      <c r="I6" s="24">
        <v>45740</v>
      </c>
      <c r="J6" s="21" t="str">
        <f t="shared" si="0"/>
        <v>Done</v>
      </c>
      <c r="K6" s="26" t="s">
        <v>20</v>
      </c>
      <c r="L6" s="32" t="s">
        <v>21</v>
      </c>
      <c r="M6" s="32" t="s">
        <v>22</v>
      </c>
    </row>
    <row r="7" spans="1:15" x14ac:dyDescent="0.25">
      <c r="A7" s="20" t="s">
        <v>34</v>
      </c>
      <c r="B7" s="21" t="s">
        <v>35</v>
      </c>
      <c r="C7" s="21" t="s">
        <v>15</v>
      </c>
      <c r="D7" s="21" t="s">
        <v>36</v>
      </c>
      <c r="E7" s="21" t="s">
        <v>37</v>
      </c>
      <c r="F7" s="21" t="s">
        <v>29</v>
      </c>
      <c r="G7" s="22" t="s">
        <v>30</v>
      </c>
      <c r="H7" s="23">
        <v>45733</v>
      </c>
      <c r="I7" s="24">
        <v>45736</v>
      </c>
      <c r="J7" s="21" t="str">
        <f t="shared" si="0"/>
        <v>Done</v>
      </c>
      <c r="K7" s="26" t="s">
        <v>38</v>
      </c>
      <c r="L7" s="32" t="s">
        <v>21</v>
      </c>
      <c r="M7" s="32" t="s">
        <v>22</v>
      </c>
    </row>
    <row r="8" spans="1:15" x14ac:dyDescent="0.25">
      <c r="A8" s="25" t="s">
        <v>39</v>
      </c>
      <c r="B8" s="21" t="s">
        <v>40</v>
      </c>
      <c r="C8" s="21" t="s">
        <v>15</v>
      </c>
      <c r="D8" s="21" t="s">
        <v>36</v>
      </c>
      <c r="E8" s="21" t="s">
        <v>37</v>
      </c>
      <c r="F8" s="21" t="s">
        <v>29</v>
      </c>
      <c r="G8" s="22" t="s">
        <v>30</v>
      </c>
      <c r="H8" s="23">
        <v>45733</v>
      </c>
      <c r="I8" s="24">
        <v>45740</v>
      </c>
      <c r="J8" s="21" t="str">
        <f t="shared" si="0"/>
        <v>Done</v>
      </c>
      <c r="K8" s="26" t="s">
        <v>38</v>
      </c>
      <c r="L8" s="32" t="s">
        <v>21</v>
      </c>
      <c r="M8" s="32" t="s">
        <v>22</v>
      </c>
    </row>
    <row r="9" spans="1:15" x14ac:dyDescent="0.25">
      <c r="A9" s="20" t="s">
        <v>41</v>
      </c>
      <c r="B9" s="21" t="s">
        <v>42</v>
      </c>
      <c r="C9" s="21" t="s">
        <v>15</v>
      </c>
      <c r="D9" s="21" t="s">
        <v>36</v>
      </c>
      <c r="E9" s="21" t="s">
        <v>37</v>
      </c>
      <c r="F9" s="21" t="s">
        <v>29</v>
      </c>
      <c r="G9" s="22" t="s">
        <v>30</v>
      </c>
      <c r="H9" s="23">
        <v>45730</v>
      </c>
      <c r="I9" s="24">
        <v>45740</v>
      </c>
      <c r="J9" s="21" t="str">
        <f t="shared" si="0"/>
        <v>Done</v>
      </c>
      <c r="K9" s="26" t="s">
        <v>38</v>
      </c>
      <c r="L9" s="32" t="s">
        <v>21</v>
      </c>
      <c r="M9" s="32" t="s">
        <v>22</v>
      </c>
    </row>
    <row r="10" spans="1:15" ht="30" customHeight="1" x14ac:dyDescent="0.25">
      <c r="A10" s="20" t="s">
        <v>43</v>
      </c>
      <c r="B10" s="21" t="s">
        <v>44</v>
      </c>
      <c r="C10" s="21" t="s">
        <v>15</v>
      </c>
      <c r="D10" s="21" t="s">
        <v>45</v>
      </c>
      <c r="E10" s="21" t="s">
        <v>46</v>
      </c>
      <c r="F10" s="21" t="s">
        <v>47</v>
      </c>
      <c r="G10" s="22" t="s">
        <v>19</v>
      </c>
      <c r="H10" s="23">
        <v>45730</v>
      </c>
      <c r="I10" s="24">
        <v>41350</v>
      </c>
      <c r="J10" s="21" t="str">
        <f t="shared" si="0"/>
        <v>Done</v>
      </c>
      <c r="K10" s="26" t="s">
        <v>48</v>
      </c>
      <c r="L10" s="32" t="s">
        <v>21</v>
      </c>
      <c r="M10" s="32" t="s">
        <v>22</v>
      </c>
    </row>
    <row r="11" spans="1:15" x14ac:dyDescent="0.25">
      <c r="A11" s="20" t="s">
        <v>49</v>
      </c>
      <c r="B11" s="21" t="s">
        <v>50</v>
      </c>
      <c r="C11" s="21" t="s">
        <v>15</v>
      </c>
      <c r="D11" s="21" t="s">
        <v>51</v>
      </c>
      <c r="E11" s="21" t="s">
        <v>52</v>
      </c>
      <c r="F11" s="21" t="s">
        <v>53</v>
      </c>
      <c r="G11" s="22" t="s">
        <v>19</v>
      </c>
      <c r="H11" s="23">
        <v>45721</v>
      </c>
      <c r="I11" s="24">
        <v>45723</v>
      </c>
      <c r="J11" s="21" t="str">
        <f t="shared" si="0"/>
        <v>Done</v>
      </c>
      <c r="K11" s="26"/>
      <c r="L11" s="32" t="s">
        <v>21</v>
      </c>
      <c r="M11" s="32" t="s">
        <v>22</v>
      </c>
    </row>
    <row r="12" spans="1:15" ht="45" customHeight="1" x14ac:dyDescent="0.25">
      <c r="A12" s="11" t="s">
        <v>54</v>
      </c>
      <c r="B12" s="12" t="s">
        <v>55</v>
      </c>
      <c r="C12" s="12" t="s">
        <v>15</v>
      </c>
      <c r="D12" s="12" t="s">
        <v>51</v>
      </c>
      <c r="E12" s="12" t="s">
        <v>52</v>
      </c>
      <c r="F12" s="12" t="s">
        <v>56</v>
      </c>
      <c r="G12" s="13" t="s">
        <v>19</v>
      </c>
      <c r="H12" s="14">
        <v>45723</v>
      </c>
      <c r="I12" s="15"/>
      <c r="J12" s="12" t="str">
        <f t="shared" si="0"/>
        <v>In progress</v>
      </c>
      <c r="K12" s="36" t="s">
        <v>57</v>
      </c>
      <c r="L12" s="35"/>
      <c r="M12" s="35"/>
    </row>
    <row r="13" spans="1:15" x14ac:dyDescent="0.25">
      <c r="A13" s="20" t="s">
        <v>58</v>
      </c>
      <c r="B13" s="21" t="s">
        <v>59</v>
      </c>
      <c r="C13" s="21" t="s">
        <v>60</v>
      </c>
      <c r="D13" s="21" t="s">
        <v>61</v>
      </c>
      <c r="E13" s="21" t="s">
        <v>62</v>
      </c>
      <c r="F13" s="21" t="s">
        <v>18</v>
      </c>
      <c r="G13" s="22" t="s">
        <v>19</v>
      </c>
      <c r="H13" s="23">
        <v>45728</v>
      </c>
      <c r="I13" s="24">
        <v>45728</v>
      </c>
      <c r="J13" s="21" t="str">
        <f t="shared" si="0"/>
        <v>Done</v>
      </c>
      <c r="K13" s="26"/>
      <c r="L13" s="32" t="s">
        <v>21</v>
      </c>
      <c r="M13" s="32" t="s">
        <v>22</v>
      </c>
    </row>
    <row r="14" spans="1:15" ht="45" customHeight="1" x14ac:dyDescent="0.25">
      <c r="A14" s="11" t="s">
        <v>63</v>
      </c>
      <c r="B14" s="12" t="s">
        <v>64</v>
      </c>
      <c r="C14" s="12" t="s">
        <v>60</v>
      </c>
      <c r="D14" s="12" t="s">
        <v>61</v>
      </c>
      <c r="E14" s="12" t="s">
        <v>62</v>
      </c>
      <c r="F14" s="12" t="s">
        <v>29</v>
      </c>
      <c r="G14" s="13" t="s">
        <v>30</v>
      </c>
      <c r="H14" s="14">
        <v>45728</v>
      </c>
      <c r="I14" s="15"/>
      <c r="J14" s="12" t="str">
        <f t="shared" si="0"/>
        <v>In progress</v>
      </c>
      <c r="K14" s="36" t="s">
        <v>65</v>
      </c>
      <c r="L14" s="35"/>
      <c r="M14" s="35"/>
    </row>
    <row r="15" spans="1:15" x14ac:dyDescent="0.25">
      <c r="A15" s="20" t="s">
        <v>66</v>
      </c>
      <c r="B15" s="21" t="s">
        <v>67</v>
      </c>
      <c r="C15" s="21" t="s">
        <v>60</v>
      </c>
      <c r="D15" s="21" t="s">
        <v>61</v>
      </c>
      <c r="E15" s="21" t="s">
        <v>62</v>
      </c>
      <c r="F15" s="21" t="s">
        <v>29</v>
      </c>
      <c r="G15" s="22" t="s">
        <v>30</v>
      </c>
      <c r="H15" s="23">
        <v>45728</v>
      </c>
      <c r="I15" s="24">
        <v>45728</v>
      </c>
      <c r="J15" s="21" t="str">
        <f t="shared" si="0"/>
        <v>Done</v>
      </c>
      <c r="K15" s="26"/>
      <c r="L15" s="32" t="s">
        <v>21</v>
      </c>
      <c r="M15" s="32" t="s">
        <v>22</v>
      </c>
      <c r="O15" s="8"/>
    </row>
    <row r="16" spans="1:15" ht="45" customHeight="1" x14ac:dyDescent="0.25">
      <c r="A16" s="11" t="s">
        <v>68</v>
      </c>
      <c r="B16" s="12" t="s">
        <v>69</v>
      </c>
      <c r="C16" s="12" t="s">
        <v>60</v>
      </c>
      <c r="D16" s="12" t="s">
        <v>61</v>
      </c>
      <c r="E16" s="12" t="s">
        <v>62</v>
      </c>
      <c r="F16" s="12" t="s">
        <v>29</v>
      </c>
      <c r="G16" s="13" t="s">
        <v>30</v>
      </c>
      <c r="H16" s="14">
        <v>45728</v>
      </c>
      <c r="I16" s="15"/>
      <c r="J16" s="12" t="str">
        <f t="shared" si="0"/>
        <v>In progress</v>
      </c>
      <c r="K16" s="36" t="s">
        <v>65</v>
      </c>
      <c r="L16" s="35"/>
      <c r="M16" s="35"/>
    </row>
    <row r="17" spans="1:15" x14ac:dyDescent="0.25">
      <c r="A17" s="20" t="s">
        <v>70</v>
      </c>
      <c r="B17" s="21" t="s">
        <v>71</v>
      </c>
      <c r="C17" s="21" t="s">
        <v>60</v>
      </c>
      <c r="D17" s="21" t="s">
        <v>61</v>
      </c>
      <c r="E17" s="21" t="s">
        <v>62</v>
      </c>
      <c r="F17" s="21" t="s">
        <v>29</v>
      </c>
      <c r="G17" s="22" t="s">
        <v>30</v>
      </c>
      <c r="H17" s="23">
        <v>45728</v>
      </c>
      <c r="I17" s="24">
        <v>45728</v>
      </c>
      <c r="J17" s="21" t="str">
        <f t="shared" si="0"/>
        <v>Done</v>
      </c>
      <c r="K17" s="26"/>
      <c r="L17" s="32" t="s">
        <v>21</v>
      </c>
      <c r="M17" s="32" t="s">
        <v>22</v>
      </c>
    </row>
    <row r="18" spans="1:15" x14ac:dyDescent="0.25">
      <c r="A18" s="20" t="s">
        <v>72</v>
      </c>
      <c r="B18" s="21" t="s">
        <v>73</v>
      </c>
      <c r="C18" s="21" t="s">
        <v>60</v>
      </c>
      <c r="D18" s="21" t="s">
        <v>74</v>
      </c>
      <c r="E18" s="21" t="s">
        <v>75</v>
      </c>
      <c r="F18" s="21" t="s">
        <v>53</v>
      </c>
      <c r="G18" s="22" t="s">
        <v>19</v>
      </c>
      <c r="H18" s="23">
        <v>45721</v>
      </c>
      <c r="I18" s="24">
        <v>45721</v>
      </c>
      <c r="J18" s="21" t="str">
        <f t="shared" si="0"/>
        <v>Done</v>
      </c>
      <c r="K18" s="26"/>
      <c r="L18" s="32" t="s">
        <v>21</v>
      </c>
      <c r="M18" s="32" t="s">
        <v>22</v>
      </c>
    </row>
    <row r="19" spans="1:15" x14ac:dyDescent="0.25">
      <c r="A19" s="20" t="s">
        <v>76</v>
      </c>
      <c r="B19" s="21" t="s">
        <v>77</v>
      </c>
      <c r="C19" s="21" t="s">
        <v>60</v>
      </c>
      <c r="D19" s="21" t="s">
        <v>74</v>
      </c>
      <c r="E19" s="21" t="s">
        <v>75</v>
      </c>
      <c r="F19" s="21" t="s">
        <v>53</v>
      </c>
      <c r="G19" s="22" t="s">
        <v>19</v>
      </c>
      <c r="H19" s="23">
        <v>45721</v>
      </c>
      <c r="I19" s="24">
        <v>45721</v>
      </c>
      <c r="J19" s="21" t="str">
        <f t="shared" si="0"/>
        <v>Done</v>
      </c>
      <c r="K19" s="26"/>
      <c r="L19" s="32" t="s">
        <v>21</v>
      </c>
      <c r="M19" s="32" t="s">
        <v>22</v>
      </c>
    </row>
    <row r="20" spans="1:15" s="6" customFormat="1" x14ac:dyDescent="0.25">
      <c r="A20" s="20" t="s">
        <v>78</v>
      </c>
      <c r="B20" s="21" t="s">
        <v>79</v>
      </c>
      <c r="C20" s="21" t="s">
        <v>60</v>
      </c>
      <c r="D20" s="21" t="s">
        <v>74</v>
      </c>
      <c r="E20" s="21" t="s">
        <v>75</v>
      </c>
      <c r="F20" s="21" t="s">
        <v>53</v>
      </c>
      <c r="G20" s="22" t="s">
        <v>19</v>
      </c>
      <c r="H20" s="23">
        <v>45721</v>
      </c>
      <c r="I20" s="24">
        <v>45721</v>
      </c>
      <c r="J20" s="21" t="s">
        <v>80</v>
      </c>
      <c r="K20" s="26" t="s">
        <v>81</v>
      </c>
      <c r="L20" s="32" t="s">
        <v>21</v>
      </c>
      <c r="M20" s="32" t="s">
        <v>22</v>
      </c>
      <c r="O20" s="8"/>
    </row>
    <row r="21" spans="1:15" s="6" customFormat="1" ht="45" customHeight="1" x14ac:dyDescent="0.25">
      <c r="A21" s="20" t="s">
        <v>82</v>
      </c>
      <c r="B21" s="21" t="s">
        <v>83</v>
      </c>
      <c r="C21" s="21" t="s">
        <v>60</v>
      </c>
      <c r="D21" s="21" t="s">
        <v>74</v>
      </c>
      <c r="E21" s="21" t="s">
        <v>75</v>
      </c>
      <c r="F21" s="21" t="s">
        <v>47</v>
      </c>
      <c r="G21" s="22" t="s">
        <v>19</v>
      </c>
      <c r="H21" s="23">
        <v>45722</v>
      </c>
      <c r="I21" s="24">
        <v>45722</v>
      </c>
      <c r="J21" s="21" t="s">
        <v>80</v>
      </c>
      <c r="K21" s="26" t="s">
        <v>84</v>
      </c>
      <c r="L21" s="32" t="s">
        <v>21</v>
      </c>
      <c r="M21" s="32" t="s">
        <v>22</v>
      </c>
    </row>
    <row r="22" spans="1:15" x14ac:dyDescent="0.25">
      <c r="A22" s="20" t="s">
        <v>85</v>
      </c>
      <c r="B22" s="21" t="s">
        <v>86</v>
      </c>
      <c r="C22" s="21" t="s">
        <v>60</v>
      </c>
      <c r="D22" s="21" t="s">
        <v>74</v>
      </c>
      <c r="E22" s="21" t="s">
        <v>75</v>
      </c>
      <c r="F22" s="21" t="s">
        <v>29</v>
      </c>
      <c r="G22" s="22" t="s">
        <v>30</v>
      </c>
      <c r="H22" s="23">
        <v>45722</v>
      </c>
      <c r="I22" s="24">
        <v>45722</v>
      </c>
      <c r="J22" s="21" t="str">
        <f t="shared" ref="J22:J32" si="1">IF(ISBLANK(H22), "Not yet started", IF(ISBLANK(I22),"In progress", "Done"))</f>
        <v>Done</v>
      </c>
      <c r="K22" s="26"/>
      <c r="L22" s="32" t="s">
        <v>21</v>
      </c>
      <c r="M22" s="32" t="s">
        <v>22</v>
      </c>
    </row>
    <row r="23" spans="1:15" x14ac:dyDescent="0.25">
      <c r="A23" s="20" t="s">
        <v>87</v>
      </c>
      <c r="B23" s="21" t="s">
        <v>88</v>
      </c>
      <c r="C23" s="21" t="s">
        <v>60</v>
      </c>
      <c r="D23" s="21" t="s">
        <v>74</v>
      </c>
      <c r="E23" s="21" t="s">
        <v>75</v>
      </c>
      <c r="F23" s="21" t="s">
        <v>29</v>
      </c>
      <c r="G23" s="22" t="s">
        <v>30</v>
      </c>
      <c r="H23" s="23">
        <v>45722</v>
      </c>
      <c r="I23" s="24">
        <v>45722</v>
      </c>
      <c r="J23" s="21" t="str">
        <f t="shared" si="1"/>
        <v>Done</v>
      </c>
      <c r="K23" s="26"/>
      <c r="L23" s="32" t="s">
        <v>21</v>
      </c>
      <c r="M23" s="32" t="s">
        <v>22</v>
      </c>
    </row>
    <row r="24" spans="1:15" x14ac:dyDescent="0.25">
      <c r="A24" s="20" t="s">
        <v>89</v>
      </c>
      <c r="B24" s="21" t="s">
        <v>90</v>
      </c>
      <c r="C24" s="21" t="s">
        <v>60</v>
      </c>
      <c r="D24" s="21" t="s">
        <v>91</v>
      </c>
      <c r="E24" s="21" t="s">
        <v>92</v>
      </c>
      <c r="F24" s="21" t="s">
        <v>18</v>
      </c>
      <c r="G24" s="22" t="s">
        <v>19</v>
      </c>
      <c r="H24" s="23">
        <v>45733</v>
      </c>
      <c r="I24" s="24">
        <v>45744</v>
      </c>
      <c r="J24" s="21" t="str">
        <f t="shared" si="1"/>
        <v>Done</v>
      </c>
      <c r="K24" s="26" t="s">
        <v>93</v>
      </c>
      <c r="L24" s="32" t="s">
        <v>21</v>
      </c>
      <c r="M24" s="32" t="s">
        <v>22</v>
      </c>
    </row>
    <row r="25" spans="1:15" ht="30" customHeight="1" x14ac:dyDescent="0.25">
      <c r="A25" s="41" t="s">
        <v>94</v>
      </c>
      <c r="B25" s="21" t="s">
        <v>95</v>
      </c>
      <c r="C25" s="21" t="s">
        <v>60</v>
      </c>
      <c r="D25" s="21" t="s">
        <v>91</v>
      </c>
      <c r="E25" s="21" t="s">
        <v>92</v>
      </c>
      <c r="F25" s="21" t="s">
        <v>18</v>
      </c>
      <c r="G25" s="22" t="s">
        <v>19</v>
      </c>
      <c r="H25" s="23">
        <v>45733</v>
      </c>
      <c r="I25" s="24">
        <v>45744</v>
      </c>
      <c r="J25" s="21" t="str">
        <f t="shared" si="1"/>
        <v>Done</v>
      </c>
      <c r="K25" s="26" t="s">
        <v>96</v>
      </c>
      <c r="L25" s="32" t="s">
        <v>21</v>
      </c>
      <c r="M25" s="35"/>
      <c r="O25" s="43"/>
    </row>
    <row r="26" spans="1:15" ht="45" customHeight="1" x14ac:dyDescent="0.25">
      <c r="A26" s="20" t="s">
        <v>97</v>
      </c>
      <c r="B26" s="21" t="s">
        <v>98</v>
      </c>
      <c r="C26" s="21" t="s">
        <v>60</v>
      </c>
      <c r="D26" s="21" t="s">
        <v>91</v>
      </c>
      <c r="E26" s="21" t="s">
        <v>92</v>
      </c>
      <c r="F26" s="21" t="s">
        <v>18</v>
      </c>
      <c r="G26" s="22" t="s">
        <v>19</v>
      </c>
      <c r="H26" s="23">
        <v>45737</v>
      </c>
      <c r="I26" s="24">
        <v>45744</v>
      </c>
      <c r="J26" s="21" t="str">
        <f t="shared" si="1"/>
        <v>Done</v>
      </c>
      <c r="K26" s="26" t="s">
        <v>99</v>
      </c>
      <c r="L26" s="32" t="s">
        <v>21</v>
      </c>
      <c r="M26" s="32" t="s">
        <v>22</v>
      </c>
    </row>
    <row r="27" spans="1:15" ht="30" customHeight="1" x14ac:dyDescent="0.25">
      <c r="A27" s="16" t="s">
        <v>100</v>
      </c>
      <c r="B27" s="17" t="s">
        <v>101</v>
      </c>
      <c r="C27" s="17" t="s">
        <v>60</v>
      </c>
      <c r="D27" s="17" t="s">
        <v>91</v>
      </c>
      <c r="E27" s="17"/>
      <c r="F27" s="17" t="s">
        <v>102</v>
      </c>
      <c r="G27" s="18" t="s">
        <v>19</v>
      </c>
      <c r="H27" s="17"/>
      <c r="I27" s="19"/>
      <c r="J27" s="17" t="str">
        <f t="shared" si="1"/>
        <v>Not yet started</v>
      </c>
      <c r="K27" s="37" t="s">
        <v>103</v>
      </c>
      <c r="L27" s="35"/>
      <c r="M27" s="35"/>
    </row>
    <row r="28" spans="1:15" ht="45" customHeight="1" x14ac:dyDescent="0.25">
      <c r="A28" s="11" t="s">
        <v>104</v>
      </c>
      <c r="B28" s="12" t="s">
        <v>105</v>
      </c>
      <c r="C28" s="12" t="s">
        <v>60</v>
      </c>
      <c r="D28" s="12" t="s">
        <v>91</v>
      </c>
      <c r="E28" s="12" t="s">
        <v>92</v>
      </c>
      <c r="F28" s="12" t="s">
        <v>29</v>
      </c>
      <c r="G28" s="13" t="s">
        <v>30</v>
      </c>
      <c r="H28" s="14">
        <v>45740</v>
      </c>
      <c r="I28" s="15"/>
      <c r="J28" s="12" t="str">
        <f t="shared" si="1"/>
        <v>In progress</v>
      </c>
      <c r="K28" s="36" t="s">
        <v>31</v>
      </c>
      <c r="L28" s="35"/>
      <c r="M28" s="35"/>
    </row>
    <row r="29" spans="1:15" ht="45" customHeight="1" x14ac:dyDescent="0.25">
      <c r="A29" s="11" t="s">
        <v>106</v>
      </c>
      <c r="B29" s="12" t="s">
        <v>107</v>
      </c>
      <c r="C29" s="12" t="s">
        <v>60</v>
      </c>
      <c r="D29" s="12" t="s">
        <v>91</v>
      </c>
      <c r="E29" s="12" t="s">
        <v>92</v>
      </c>
      <c r="F29" s="12" t="s">
        <v>29</v>
      </c>
      <c r="G29" s="13" t="s">
        <v>30</v>
      </c>
      <c r="H29" s="14">
        <v>45740</v>
      </c>
      <c r="I29" s="15"/>
      <c r="J29" s="12" t="str">
        <f t="shared" si="1"/>
        <v>In progress</v>
      </c>
      <c r="K29" s="36" t="s">
        <v>31</v>
      </c>
      <c r="L29" s="35"/>
      <c r="M29" s="35"/>
    </row>
    <row r="30" spans="1:15" ht="45" customHeight="1" x14ac:dyDescent="0.25">
      <c r="A30" s="11" t="s">
        <v>108</v>
      </c>
      <c r="B30" s="12" t="s">
        <v>109</v>
      </c>
      <c r="C30" s="12" t="s">
        <v>60</v>
      </c>
      <c r="D30" s="12" t="s">
        <v>91</v>
      </c>
      <c r="E30" s="12" t="s">
        <v>92</v>
      </c>
      <c r="F30" s="12" t="s">
        <v>29</v>
      </c>
      <c r="G30" s="13" t="s">
        <v>30</v>
      </c>
      <c r="H30" s="14">
        <v>45740</v>
      </c>
      <c r="I30" s="15"/>
      <c r="J30" s="12" t="str">
        <f t="shared" si="1"/>
        <v>In progress</v>
      </c>
      <c r="K30" s="36" t="s">
        <v>31</v>
      </c>
      <c r="L30" s="35"/>
      <c r="M30" s="35"/>
    </row>
    <row r="31" spans="1:15" ht="45" customHeight="1" x14ac:dyDescent="0.25">
      <c r="A31" s="20" t="s">
        <v>110</v>
      </c>
      <c r="B31" s="21" t="s">
        <v>111</v>
      </c>
      <c r="C31" s="21" t="s">
        <v>112</v>
      </c>
      <c r="D31" s="21" t="s">
        <v>113</v>
      </c>
      <c r="E31" s="21" t="s">
        <v>114</v>
      </c>
      <c r="F31" s="21" t="s">
        <v>115</v>
      </c>
      <c r="G31" s="22" t="s">
        <v>19</v>
      </c>
      <c r="H31" s="23">
        <v>45733</v>
      </c>
      <c r="I31" s="24">
        <v>45744</v>
      </c>
      <c r="J31" s="21" t="str">
        <f t="shared" si="1"/>
        <v>Done</v>
      </c>
      <c r="K31" s="26" t="s">
        <v>116</v>
      </c>
      <c r="L31" s="32" t="s">
        <v>21</v>
      </c>
      <c r="M31" s="35"/>
      <c r="O31" s="43"/>
    </row>
    <row r="32" spans="1:15" ht="30" customHeight="1" x14ac:dyDescent="0.25">
      <c r="A32" s="11" t="s">
        <v>117</v>
      </c>
      <c r="B32" s="12" t="s">
        <v>118</v>
      </c>
      <c r="C32" s="12" t="s">
        <v>112</v>
      </c>
      <c r="D32" s="12" t="s">
        <v>113</v>
      </c>
      <c r="E32" s="12" t="s">
        <v>114</v>
      </c>
      <c r="F32" s="12" t="s">
        <v>29</v>
      </c>
      <c r="G32" s="13" t="s">
        <v>30</v>
      </c>
      <c r="H32" s="14">
        <v>45733</v>
      </c>
      <c r="I32" s="15"/>
      <c r="J32" s="12" t="str">
        <f t="shared" si="1"/>
        <v>In progress</v>
      </c>
      <c r="K32" s="36" t="s">
        <v>119</v>
      </c>
      <c r="L32" s="35"/>
      <c r="M32" s="35"/>
    </row>
    <row r="34" spans="1:13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3" t="s">
        <v>6</v>
      </c>
      <c r="H34" s="1" t="s">
        <v>7</v>
      </c>
      <c r="I34" s="3" t="s">
        <v>8</v>
      </c>
      <c r="J34" s="3" t="s">
        <v>9</v>
      </c>
      <c r="K34" s="9" t="s">
        <v>10</v>
      </c>
      <c r="L34" s="40" t="s">
        <v>120</v>
      </c>
      <c r="M34" s="40" t="s">
        <v>121</v>
      </c>
    </row>
    <row r="35" spans="1:13" s="6" customFormat="1" ht="30" customHeight="1" x14ac:dyDescent="0.25">
      <c r="A35" s="21" t="s">
        <v>122</v>
      </c>
      <c r="B35" s="21" t="s">
        <v>123</v>
      </c>
      <c r="C35" s="21" t="s">
        <v>60</v>
      </c>
      <c r="D35" s="21" t="s">
        <v>74</v>
      </c>
      <c r="E35" s="21" t="s">
        <v>75</v>
      </c>
      <c r="F35" s="21" t="s">
        <v>124</v>
      </c>
      <c r="G35" s="22" t="s">
        <v>30</v>
      </c>
      <c r="H35" s="23">
        <v>45722</v>
      </c>
      <c r="I35" s="23">
        <v>45723</v>
      </c>
      <c r="J35" s="21" t="str">
        <f>IF(ISBLANK(H35), "Not yet started", IF(ISBLANK(I35),"In progress", "Done"))</f>
        <v>Done</v>
      </c>
      <c r="K35" s="26" t="s">
        <v>125</v>
      </c>
      <c r="L35" s="39"/>
      <c r="M35" s="42"/>
    </row>
    <row r="36" spans="1:13" s="6" customFormat="1" ht="30" customHeight="1" x14ac:dyDescent="0.25">
      <c r="A36" s="21" t="s">
        <v>126</v>
      </c>
      <c r="B36" s="21" t="s">
        <v>127</v>
      </c>
      <c r="C36" s="21" t="s">
        <v>60</v>
      </c>
      <c r="D36" s="21" t="s">
        <v>128</v>
      </c>
      <c r="E36" s="21" t="s">
        <v>129</v>
      </c>
      <c r="F36" s="21" t="s">
        <v>124</v>
      </c>
      <c r="G36" s="22" t="s">
        <v>30</v>
      </c>
      <c r="H36" s="23">
        <v>45723</v>
      </c>
      <c r="I36" s="23">
        <v>45723</v>
      </c>
      <c r="J36" s="21" t="str">
        <f>IF(ISBLANK(H36), "Not yet started", IF(ISBLANK(I36),"In progress", "Done"))</f>
        <v>Done</v>
      </c>
      <c r="K36" s="26" t="s">
        <v>130</v>
      </c>
      <c r="L36" s="39"/>
      <c r="M36" s="42"/>
    </row>
    <row r="37" spans="1:13" s="6" customFormat="1" ht="30" customHeight="1" x14ac:dyDescent="0.25">
      <c r="A37" s="21" t="s">
        <v>131</v>
      </c>
      <c r="B37" s="21" t="s">
        <v>132</v>
      </c>
      <c r="C37" s="21" t="s">
        <v>60</v>
      </c>
      <c r="D37" s="21" t="s">
        <v>128</v>
      </c>
      <c r="E37" s="21" t="s">
        <v>129</v>
      </c>
      <c r="F37" s="21" t="s">
        <v>124</v>
      </c>
      <c r="G37" s="22" t="s">
        <v>30</v>
      </c>
      <c r="H37" s="23">
        <v>45723</v>
      </c>
      <c r="I37" s="23">
        <v>45723</v>
      </c>
      <c r="J37" s="21" t="str">
        <f>IF(ISBLANK(H37), "Not yet started", IF(ISBLANK(I37),"In progress", "Done"))</f>
        <v>Done</v>
      </c>
      <c r="K37" s="26" t="s">
        <v>130</v>
      </c>
      <c r="L37" s="39"/>
      <c r="M37" s="42"/>
    </row>
    <row r="38" spans="1:13" s="6" customFormat="1" ht="120" customHeight="1" x14ac:dyDescent="0.25">
      <c r="A38" s="21" t="s">
        <v>133</v>
      </c>
      <c r="B38" s="21" t="s">
        <v>134</v>
      </c>
      <c r="C38" s="21" t="s">
        <v>60</v>
      </c>
      <c r="D38" s="21" t="s">
        <v>128</v>
      </c>
      <c r="E38" s="21" t="s">
        <v>129</v>
      </c>
      <c r="F38" s="21" t="s">
        <v>124</v>
      </c>
      <c r="G38" s="22" t="s">
        <v>30</v>
      </c>
      <c r="H38" s="23">
        <v>45723</v>
      </c>
      <c r="I38" s="23">
        <v>45723</v>
      </c>
      <c r="J38" s="21" t="str">
        <f>IF(ISBLANK(H38), "Not yet started", IF(ISBLANK(I38),"In progress", "Done"))</f>
        <v>Done</v>
      </c>
      <c r="K38" s="26" t="s">
        <v>135</v>
      </c>
      <c r="L38" s="39"/>
      <c r="M38" s="42"/>
    </row>
    <row r="39" spans="1:13" s="6" customFormat="1" ht="124.5" customHeight="1" x14ac:dyDescent="0.25">
      <c r="A39" s="27" t="s">
        <v>136</v>
      </c>
      <c r="B39" s="27" t="s">
        <v>137</v>
      </c>
      <c r="C39" s="27" t="s">
        <v>60</v>
      </c>
      <c r="D39" s="27" t="s">
        <v>74</v>
      </c>
      <c r="E39" s="27" t="s">
        <v>75</v>
      </c>
      <c r="F39" s="27" t="s">
        <v>138</v>
      </c>
      <c r="G39" s="28" t="s">
        <v>30</v>
      </c>
      <c r="H39" s="29">
        <v>45723</v>
      </c>
      <c r="I39" s="29">
        <v>45723</v>
      </c>
      <c r="J39" s="27" t="str">
        <f>IF(ISBLANK(H39), "Not yet started", IF(ISBLANK(I39),"In progress", "Done"))</f>
        <v>Done</v>
      </c>
      <c r="K39" s="30" t="s">
        <v>139</v>
      </c>
      <c r="L39" s="39" t="s">
        <v>21</v>
      </c>
      <c r="M39" s="39" t="s">
        <v>22</v>
      </c>
    </row>
    <row r="40" spans="1:13" x14ac:dyDescent="0.25">
      <c r="A40" s="7" t="s">
        <v>140</v>
      </c>
    </row>
  </sheetData>
  <autoFilter ref="A1:M32" xr:uid="{00000000-0009-0000-0000-000000000000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5"/>
  <sheetViews>
    <sheetView workbookViewId="0">
      <selection activeCell="E117" sqref="E117"/>
    </sheetView>
  </sheetViews>
  <sheetFormatPr defaultRowHeight="15" x14ac:dyDescent="0.25"/>
  <cols>
    <col min="2" max="2" width="20.7109375" bestFit="1" customWidth="1"/>
    <col min="4" max="4" width="11.42578125" bestFit="1" customWidth="1"/>
    <col min="5" max="5" width="16.5703125" bestFit="1" customWidth="1"/>
    <col min="6" max="6" width="16.140625" customWidth="1"/>
    <col min="7" max="7" width="14.140625" bestFit="1" customWidth="1"/>
    <col min="8" max="8" width="15.5703125" customWidth="1"/>
    <col min="9" max="9" width="24.85546875" customWidth="1"/>
    <col min="10" max="10" width="25.140625" customWidth="1"/>
    <col min="11" max="11" width="25.5703125" customWidth="1"/>
    <col min="12" max="12" width="71" customWidth="1"/>
    <col min="14" max="14" width="49" customWidth="1"/>
    <col min="15" max="15" width="44.28515625" customWidth="1"/>
    <col min="16" max="16" width="19.140625" customWidth="1"/>
    <col min="17" max="17" width="24.42578125" customWidth="1"/>
    <col min="18" max="18" width="21" customWidth="1"/>
    <col min="19" max="19" width="19.140625" customWidth="1"/>
    <col min="20" max="20" width="14.85546875" customWidth="1"/>
    <col min="21" max="21" width="14.28515625" customWidth="1"/>
    <col min="23" max="24" width="12.28515625" customWidth="1"/>
    <col min="25" max="25" width="26.5703125" customWidth="1"/>
    <col min="26" max="26" width="21.85546875" customWidth="1"/>
  </cols>
  <sheetData>
    <row r="1" spans="1:26" ht="17.25" customHeight="1" x14ac:dyDescent="0.25">
      <c r="A1" s="70" t="s">
        <v>0</v>
      </c>
      <c r="B1" s="70" t="s">
        <v>1</v>
      </c>
      <c r="C1" s="70" t="s">
        <v>2</v>
      </c>
      <c r="D1" s="70" t="s">
        <v>3</v>
      </c>
      <c r="E1" s="70" t="s">
        <v>5</v>
      </c>
      <c r="F1" s="70" t="s">
        <v>141</v>
      </c>
      <c r="G1" s="70" t="s">
        <v>142</v>
      </c>
      <c r="H1" s="71" t="s">
        <v>6</v>
      </c>
      <c r="I1" s="72" t="s">
        <v>7</v>
      </c>
      <c r="J1" s="72" t="s">
        <v>8</v>
      </c>
      <c r="K1" s="72" t="s">
        <v>9</v>
      </c>
      <c r="L1" s="72" t="s">
        <v>143</v>
      </c>
      <c r="M1" s="73" t="s">
        <v>144</v>
      </c>
      <c r="N1" s="73" t="s">
        <v>145</v>
      </c>
      <c r="O1" s="74" t="s">
        <v>146</v>
      </c>
      <c r="P1" s="77"/>
      <c r="Q1" s="49" t="s">
        <v>147</v>
      </c>
      <c r="R1" s="50" t="s">
        <v>148</v>
      </c>
      <c r="S1" s="50" t="s">
        <v>149</v>
      </c>
      <c r="T1" s="50" t="s">
        <v>150</v>
      </c>
      <c r="U1" s="50" t="s">
        <v>151</v>
      </c>
      <c r="V1" s="50" t="s">
        <v>152</v>
      </c>
      <c r="W1" s="50" t="s">
        <v>153</v>
      </c>
      <c r="X1" s="50" t="s">
        <v>154</v>
      </c>
      <c r="Y1" s="119" t="s">
        <v>155</v>
      </c>
      <c r="Z1" s="51" t="s">
        <v>156</v>
      </c>
    </row>
    <row r="2" spans="1:26" ht="75" hidden="1" customHeight="1" x14ac:dyDescent="0.25">
      <c r="A2" s="54" t="s">
        <v>157</v>
      </c>
      <c r="B2" s="54" t="s">
        <v>158</v>
      </c>
      <c r="C2" s="54" t="s">
        <v>15</v>
      </c>
      <c r="D2" s="54" t="s">
        <v>16</v>
      </c>
      <c r="E2" s="54" t="s">
        <v>159</v>
      </c>
      <c r="F2" s="54" t="s">
        <v>160</v>
      </c>
      <c r="G2" s="54" t="e">
        <v>#N/A</v>
      </c>
      <c r="H2" s="55"/>
      <c r="I2" s="66" t="s">
        <v>161</v>
      </c>
      <c r="J2" s="66" t="s">
        <v>161</v>
      </c>
      <c r="K2" s="56" t="s">
        <v>80</v>
      </c>
      <c r="L2" s="57" t="s">
        <v>162</v>
      </c>
      <c r="M2" s="52" t="s">
        <v>163</v>
      </c>
      <c r="N2" s="65" t="s">
        <v>164</v>
      </c>
      <c r="O2" s="65" t="s">
        <v>165</v>
      </c>
      <c r="P2" s="8"/>
      <c r="Q2" s="47">
        <f>COUNTIF(K3:K108,"Done")</f>
        <v>95</v>
      </c>
      <c r="R2" s="47">
        <f>COUNTIF(K2:K108, "In progress")</f>
        <v>2</v>
      </c>
      <c r="S2" s="47">
        <f>COUNTIF(K2:K108, "")</f>
        <v>0</v>
      </c>
      <c r="T2" s="47">
        <f>COUNTIF(K2:K108, "in standby")</f>
        <v>1</v>
      </c>
      <c r="U2" s="47">
        <f>COUNTIF(K2:K108, "support ticket")</f>
        <v>0</v>
      </c>
      <c r="V2" s="47">
        <f>COUNTIF(K2:K108, "blocked")</f>
        <v>0</v>
      </c>
      <c r="W2" s="47">
        <f>COUNTIF(K2:K108, "In dismissione")</f>
        <v>8</v>
      </c>
      <c r="X2" s="47">
        <f>ROWS(A2:A108)</f>
        <v>107</v>
      </c>
      <c r="Y2" s="47">
        <f>ROWS(Table3[Code]) - W2</f>
        <v>99</v>
      </c>
      <c r="Z2" s="48">
        <f>ROUND(Q2/Y2, 2)</f>
        <v>0.96</v>
      </c>
    </row>
    <row r="3" spans="1:26" ht="45" hidden="1" customHeight="1" x14ac:dyDescent="0.25">
      <c r="A3" s="54" t="s">
        <v>13</v>
      </c>
      <c r="B3" s="54" t="s">
        <v>14</v>
      </c>
      <c r="C3" s="54" t="s">
        <v>15</v>
      </c>
      <c r="D3" s="54" t="s">
        <v>16</v>
      </c>
      <c r="E3" s="54" t="s">
        <v>18</v>
      </c>
      <c r="F3" s="54" t="s">
        <v>160</v>
      </c>
      <c r="G3" s="54" t="e">
        <v>#N/A</v>
      </c>
      <c r="H3" s="55" t="s">
        <v>19</v>
      </c>
      <c r="I3" s="66" t="s">
        <v>161</v>
      </c>
      <c r="J3" s="66" t="s">
        <v>161</v>
      </c>
      <c r="K3" s="56" t="s">
        <v>80</v>
      </c>
      <c r="L3" s="57" t="s">
        <v>166</v>
      </c>
      <c r="M3" s="52" t="s">
        <v>163</v>
      </c>
      <c r="N3" s="65" t="s">
        <v>164</v>
      </c>
      <c r="O3" s="75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45" hidden="1" customHeight="1" x14ac:dyDescent="0.25">
      <c r="A4" s="54" t="s">
        <v>25</v>
      </c>
      <c r="B4" s="54" t="s">
        <v>26</v>
      </c>
      <c r="C4" s="54" t="s">
        <v>15</v>
      </c>
      <c r="D4" s="54" t="s">
        <v>16</v>
      </c>
      <c r="E4" s="54" t="s">
        <v>18</v>
      </c>
      <c r="F4" s="54" t="s">
        <v>160</v>
      </c>
      <c r="G4" s="54" t="e">
        <v>#N/A</v>
      </c>
      <c r="H4" s="55"/>
      <c r="I4" s="66" t="s">
        <v>167</v>
      </c>
      <c r="J4" s="66" t="s">
        <v>167</v>
      </c>
      <c r="K4" s="56" t="s">
        <v>80</v>
      </c>
      <c r="L4" s="57" t="s">
        <v>168</v>
      </c>
      <c r="M4" s="52" t="s">
        <v>163</v>
      </c>
      <c r="N4" s="65" t="s">
        <v>164</v>
      </c>
      <c r="O4" s="75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60" customHeight="1" x14ac:dyDescent="0.25">
      <c r="A5" s="54" t="s">
        <v>169</v>
      </c>
      <c r="B5" s="54" t="s">
        <v>170</v>
      </c>
      <c r="C5" s="54" t="s">
        <v>15</v>
      </c>
      <c r="D5" s="54" t="s">
        <v>36</v>
      </c>
      <c r="E5" s="54" t="s">
        <v>171</v>
      </c>
      <c r="F5" s="54" t="s">
        <v>160</v>
      </c>
      <c r="G5" s="54" t="e">
        <v>#N/A</v>
      </c>
      <c r="H5" s="55"/>
      <c r="I5" s="66" t="s">
        <v>167</v>
      </c>
      <c r="J5" s="66" t="s">
        <v>167</v>
      </c>
      <c r="K5" s="56" t="s">
        <v>80</v>
      </c>
      <c r="L5" s="143" t="s">
        <v>172</v>
      </c>
      <c r="M5" s="52" t="s">
        <v>163</v>
      </c>
      <c r="N5" s="65" t="s">
        <v>173</v>
      </c>
      <c r="O5" s="75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75" hidden="1" customHeight="1" x14ac:dyDescent="0.25">
      <c r="A6" s="54" t="s">
        <v>174</v>
      </c>
      <c r="B6" s="54" t="s">
        <v>175</v>
      </c>
      <c r="C6" s="54" t="s">
        <v>15</v>
      </c>
      <c r="D6" s="54" t="s">
        <v>16</v>
      </c>
      <c r="E6" s="54" t="s">
        <v>159</v>
      </c>
      <c r="F6" s="54" t="s">
        <v>160</v>
      </c>
      <c r="G6" s="54" t="e">
        <v>#N/A</v>
      </c>
      <c r="H6" s="55"/>
      <c r="I6" s="66" t="s">
        <v>176</v>
      </c>
      <c r="J6" s="66" t="s">
        <v>176</v>
      </c>
      <c r="K6" s="56" t="s">
        <v>80</v>
      </c>
      <c r="L6" s="57" t="s">
        <v>177</v>
      </c>
      <c r="M6" s="52" t="s">
        <v>163</v>
      </c>
      <c r="N6" s="75" t="s">
        <v>178</v>
      </c>
      <c r="O6" s="65" t="s">
        <v>165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60" hidden="1" customHeight="1" x14ac:dyDescent="0.25">
      <c r="A7" s="54" t="s">
        <v>39</v>
      </c>
      <c r="B7" s="54" t="s">
        <v>40</v>
      </c>
      <c r="C7" s="54" t="s">
        <v>15</v>
      </c>
      <c r="D7" s="54" t="s">
        <v>36</v>
      </c>
      <c r="E7" s="54" t="s">
        <v>29</v>
      </c>
      <c r="F7" s="54" t="s">
        <v>160</v>
      </c>
      <c r="G7" s="54" t="e">
        <v>#N/A</v>
      </c>
      <c r="H7" s="55" t="s">
        <v>30</v>
      </c>
      <c r="I7" s="66" t="s">
        <v>167</v>
      </c>
      <c r="J7" s="66" t="s">
        <v>167</v>
      </c>
      <c r="K7" s="56" t="s">
        <v>80</v>
      </c>
      <c r="L7" s="57" t="s">
        <v>179</v>
      </c>
      <c r="M7" s="52" t="s">
        <v>163</v>
      </c>
      <c r="N7" s="65" t="s">
        <v>173</v>
      </c>
      <c r="O7" s="75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60" hidden="1" customHeight="1" x14ac:dyDescent="0.25">
      <c r="A8" s="54" t="s">
        <v>180</v>
      </c>
      <c r="B8" s="54" t="s">
        <v>181</v>
      </c>
      <c r="C8" s="54" t="s">
        <v>15</v>
      </c>
      <c r="D8" s="54" t="s">
        <v>36</v>
      </c>
      <c r="E8" s="54" t="s">
        <v>182</v>
      </c>
      <c r="F8" s="54" t="s">
        <v>160</v>
      </c>
      <c r="G8" s="54" t="e">
        <v>#N/A</v>
      </c>
      <c r="H8" s="55"/>
      <c r="I8" s="66" t="s">
        <v>167</v>
      </c>
      <c r="J8" s="66" t="s">
        <v>167</v>
      </c>
      <c r="K8" s="56" t="s">
        <v>80</v>
      </c>
      <c r="L8" s="57" t="s">
        <v>172</v>
      </c>
      <c r="M8" s="52" t="s">
        <v>163</v>
      </c>
      <c r="N8" s="65" t="s">
        <v>173</v>
      </c>
      <c r="O8" s="75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10" hidden="1" customHeight="1" x14ac:dyDescent="0.25">
      <c r="A9" s="84" t="s">
        <v>183</v>
      </c>
      <c r="B9" s="84" t="s">
        <v>184</v>
      </c>
      <c r="C9" s="84" t="s">
        <v>15</v>
      </c>
      <c r="D9" s="84" t="s">
        <v>16</v>
      </c>
      <c r="E9" s="84" t="s">
        <v>159</v>
      </c>
      <c r="F9" s="84" t="s">
        <v>160</v>
      </c>
      <c r="G9" s="84" t="e">
        <v>#N/A</v>
      </c>
      <c r="H9" s="85"/>
      <c r="I9" s="87" t="s">
        <v>185</v>
      </c>
      <c r="J9" s="87"/>
      <c r="K9" s="88" t="s">
        <v>186</v>
      </c>
      <c r="L9" s="89" t="s">
        <v>187</v>
      </c>
      <c r="M9" s="52" t="s">
        <v>163</v>
      </c>
      <c r="N9" s="65" t="s">
        <v>188</v>
      </c>
      <c r="O9" s="75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45" hidden="1" customHeight="1" x14ac:dyDescent="0.25">
      <c r="A10" s="54" t="s">
        <v>23</v>
      </c>
      <c r="B10" s="54" t="s">
        <v>24</v>
      </c>
      <c r="C10" s="54" t="s">
        <v>15</v>
      </c>
      <c r="D10" s="54" t="s">
        <v>16</v>
      </c>
      <c r="E10" s="54" t="s">
        <v>18</v>
      </c>
      <c r="F10" s="54" t="s">
        <v>160</v>
      </c>
      <c r="G10" s="54" t="e">
        <v>#N/A</v>
      </c>
      <c r="H10" s="55"/>
      <c r="I10" s="67" t="s">
        <v>185</v>
      </c>
      <c r="J10" s="67" t="s">
        <v>185</v>
      </c>
      <c r="K10" s="56" t="s">
        <v>80</v>
      </c>
      <c r="L10" s="57" t="s">
        <v>179</v>
      </c>
      <c r="M10" s="52" t="s">
        <v>163</v>
      </c>
      <c r="N10" s="65" t="s">
        <v>164</v>
      </c>
      <c r="O10" s="75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60" hidden="1" customHeight="1" x14ac:dyDescent="0.25">
      <c r="A11" s="54" t="s">
        <v>41</v>
      </c>
      <c r="B11" s="54" t="s">
        <v>42</v>
      </c>
      <c r="C11" s="54" t="s">
        <v>15</v>
      </c>
      <c r="D11" s="54" t="s">
        <v>36</v>
      </c>
      <c r="E11" s="54" t="s">
        <v>29</v>
      </c>
      <c r="F11" s="54" t="s">
        <v>160</v>
      </c>
      <c r="G11" s="54" t="e">
        <v>#N/A</v>
      </c>
      <c r="H11" s="55" t="s">
        <v>30</v>
      </c>
      <c r="I11" s="66" t="s">
        <v>189</v>
      </c>
      <c r="J11" s="66" t="s">
        <v>189</v>
      </c>
      <c r="K11" s="56" t="s">
        <v>80</v>
      </c>
      <c r="L11" s="57" t="s">
        <v>179</v>
      </c>
      <c r="M11" s="52" t="s">
        <v>163</v>
      </c>
      <c r="N11" s="65" t="s">
        <v>173</v>
      </c>
      <c r="O11" s="75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60" hidden="1" customHeight="1" x14ac:dyDescent="0.25">
      <c r="A12" s="54" t="s">
        <v>34</v>
      </c>
      <c r="B12" s="54" t="s">
        <v>35</v>
      </c>
      <c r="C12" s="54" t="s">
        <v>15</v>
      </c>
      <c r="D12" s="54" t="s">
        <v>36</v>
      </c>
      <c r="E12" s="54" t="s">
        <v>29</v>
      </c>
      <c r="F12" s="54" t="s">
        <v>160</v>
      </c>
      <c r="G12" s="54" t="e">
        <v>#N/A</v>
      </c>
      <c r="H12" s="55" t="s">
        <v>30</v>
      </c>
      <c r="I12" s="66" t="s">
        <v>190</v>
      </c>
      <c r="J12" s="66" t="s">
        <v>191</v>
      </c>
      <c r="K12" s="56" t="s">
        <v>80</v>
      </c>
      <c r="L12" s="57" t="s">
        <v>192</v>
      </c>
      <c r="M12" s="52" t="s">
        <v>163</v>
      </c>
      <c r="N12" s="65" t="s">
        <v>173</v>
      </c>
      <c r="O12" s="75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45" hidden="1" customHeight="1" x14ac:dyDescent="0.25">
      <c r="A13" s="101" t="s">
        <v>27</v>
      </c>
      <c r="B13" s="101" t="s">
        <v>28</v>
      </c>
      <c r="C13" s="101" t="s">
        <v>15</v>
      </c>
      <c r="D13" s="101" t="s">
        <v>16</v>
      </c>
      <c r="E13" s="101" t="s">
        <v>29</v>
      </c>
      <c r="F13" s="101" t="s">
        <v>160</v>
      </c>
      <c r="G13" s="101" t="e">
        <v>#N/A</v>
      </c>
      <c r="H13" s="85" t="s">
        <v>30</v>
      </c>
      <c r="I13" s="87"/>
      <c r="J13" s="87"/>
      <c r="K13" s="88" t="s">
        <v>186</v>
      </c>
      <c r="L13" s="102" t="s">
        <v>193</v>
      </c>
      <c r="M13" s="52"/>
      <c r="N13" s="53"/>
      <c r="O13" s="76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30" hidden="1" customHeight="1" x14ac:dyDescent="0.25">
      <c r="A14" s="54" t="s">
        <v>32</v>
      </c>
      <c r="B14" s="54" t="s">
        <v>33</v>
      </c>
      <c r="C14" s="54" t="s">
        <v>15</v>
      </c>
      <c r="D14" s="54" t="s">
        <v>16</v>
      </c>
      <c r="E14" s="54" t="s">
        <v>29</v>
      </c>
      <c r="F14" s="54" t="s">
        <v>160</v>
      </c>
      <c r="G14" s="54" t="e">
        <v>#N/A</v>
      </c>
      <c r="H14" s="55" t="s">
        <v>30</v>
      </c>
      <c r="I14" s="67" t="s">
        <v>185</v>
      </c>
      <c r="J14" s="67" t="s">
        <v>185</v>
      </c>
      <c r="K14" s="56" t="s">
        <v>80</v>
      </c>
      <c r="L14" s="57" t="s">
        <v>179</v>
      </c>
      <c r="M14" s="52" t="s">
        <v>163</v>
      </c>
      <c r="N14" s="53"/>
      <c r="O14" s="76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90" hidden="1" customHeight="1" x14ac:dyDescent="0.25">
      <c r="A15" s="84" t="s">
        <v>194</v>
      </c>
      <c r="B15" s="84" t="s">
        <v>195</v>
      </c>
      <c r="C15" s="84" t="s">
        <v>15</v>
      </c>
      <c r="D15" s="84" t="s">
        <v>36</v>
      </c>
      <c r="E15" s="84" t="s">
        <v>159</v>
      </c>
      <c r="F15" s="84" t="s">
        <v>160</v>
      </c>
      <c r="G15" s="84" t="e">
        <v>#N/A</v>
      </c>
      <c r="H15" s="85"/>
      <c r="I15" s="86">
        <v>45965</v>
      </c>
      <c r="J15" s="87"/>
      <c r="K15" s="88" t="s">
        <v>186</v>
      </c>
      <c r="L15" s="89" t="s">
        <v>196</v>
      </c>
      <c r="M15" s="52" t="s">
        <v>163</v>
      </c>
      <c r="N15" s="65" t="s">
        <v>165</v>
      </c>
      <c r="O15" s="75" t="s">
        <v>197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idden="1" x14ac:dyDescent="0.25">
      <c r="A16" s="54" t="s">
        <v>198</v>
      </c>
      <c r="B16" s="54" t="s">
        <v>199</v>
      </c>
      <c r="C16" s="54" t="s">
        <v>15</v>
      </c>
      <c r="D16" s="54" t="s">
        <v>51</v>
      </c>
      <c r="E16" s="54" t="s">
        <v>200</v>
      </c>
      <c r="F16" s="54" t="s">
        <v>160</v>
      </c>
      <c r="G16" s="54">
        <v>11</v>
      </c>
      <c r="H16" s="55" t="s">
        <v>201</v>
      </c>
      <c r="I16" s="67">
        <v>45965</v>
      </c>
      <c r="J16" s="67">
        <v>45965</v>
      </c>
      <c r="K16" s="56" t="s">
        <v>80</v>
      </c>
      <c r="L16" s="56" t="s">
        <v>202</v>
      </c>
      <c r="M16" s="53" t="s">
        <v>203</v>
      </c>
      <c r="N16" s="53"/>
      <c r="O16" s="76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45" hidden="1" customHeight="1" x14ac:dyDescent="0.25">
      <c r="A17" s="54" t="s">
        <v>204</v>
      </c>
      <c r="B17" s="54" t="s">
        <v>205</v>
      </c>
      <c r="C17" s="54" t="s">
        <v>15</v>
      </c>
      <c r="D17" s="54" t="s">
        <v>16</v>
      </c>
      <c r="E17" s="54" t="s">
        <v>182</v>
      </c>
      <c r="F17" s="54" t="s">
        <v>160</v>
      </c>
      <c r="G17" s="54" t="e">
        <v>#N/A</v>
      </c>
      <c r="H17" s="55" t="s">
        <v>19</v>
      </c>
      <c r="I17" s="66" t="s">
        <v>161</v>
      </c>
      <c r="J17" s="66" t="s">
        <v>161</v>
      </c>
      <c r="K17" s="56" t="s">
        <v>80</v>
      </c>
      <c r="L17" s="57" t="s">
        <v>166</v>
      </c>
      <c r="M17" s="53" t="s">
        <v>163</v>
      </c>
      <c r="N17" s="65" t="s">
        <v>164</v>
      </c>
      <c r="O17" s="75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idden="1" x14ac:dyDescent="0.25">
      <c r="A18" s="54" t="s">
        <v>206</v>
      </c>
      <c r="B18" s="54" t="s">
        <v>207</v>
      </c>
      <c r="C18" s="54" t="s">
        <v>15</v>
      </c>
      <c r="D18" s="54" t="s">
        <v>51</v>
      </c>
      <c r="E18" s="54" t="s">
        <v>159</v>
      </c>
      <c r="F18" s="54" t="s">
        <v>160</v>
      </c>
      <c r="G18" s="54">
        <v>11</v>
      </c>
      <c r="H18" s="55" t="s">
        <v>201</v>
      </c>
      <c r="I18" s="67">
        <v>45965</v>
      </c>
      <c r="J18" s="67">
        <v>45965</v>
      </c>
      <c r="K18" s="56" t="s">
        <v>80</v>
      </c>
      <c r="L18" s="56" t="s">
        <v>202</v>
      </c>
      <c r="M18" s="53" t="s">
        <v>203</v>
      </c>
      <c r="N18" s="53"/>
      <c r="O18" s="76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idden="1" x14ac:dyDescent="0.25">
      <c r="A19" s="54" t="s">
        <v>54</v>
      </c>
      <c r="B19" s="54" t="s">
        <v>55</v>
      </c>
      <c r="C19" s="54" t="s">
        <v>15</v>
      </c>
      <c r="D19" s="54" t="s">
        <v>51</v>
      </c>
      <c r="E19" s="54" t="s">
        <v>56</v>
      </c>
      <c r="F19" s="54" t="s">
        <v>160</v>
      </c>
      <c r="G19" s="54">
        <v>11</v>
      </c>
      <c r="H19" s="55" t="s">
        <v>201</v>
      </c>
      <c r="I19" s="67">
        <v>45720</v>
      </c>
      <c r="J19" s="67">
        <v>45751</v>
      </c>
      <c r="K19" s="56" t="s">
        <v>80</v>
      </c>
      <c r="L19" s="56" t="s">
        <v>202</v>
      </c>
      <c r="M19" s="53" t="s">
        <v>203</v>
      </c>
      <c r="N19" s="53"/>
      <c r="O19" s="76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idden="1" x14ac:dyDescent="0.25">
      <c r="A20" s="54" t="s">
        <v>208</v>
      </c>
      <c r="B20" s="54" t="s">
        <v>209</v>
      </c>
      <c r="C20" s="54" t="s">
        <v>15</v>
      </c>
      <c r="D20" s="54" t="s">
        <v>51</v>
      </c>
      <c r="E20" s="54" t="s">
        <v>210</v>
      </c>
      <c r="F20" s="54" t="s">
        <v>160</v>
      </c>
      <c r="G20" s="54">
        <v>11</v>
      </c>
      <c r="H20" s="55" t="s">
        <v>201</v>
      </c>
      <c r="I20" s="67">
        <v>45873</v>
      </c>
      <c r="J20" s="67">
        <v>45904</v>
      </c>
      <c r="K20" s="56" t="s">
        <v>80</v>
      </c>
      <c r="L20" s="56" t="s">
        <v>202</v>
      </c>
      <c r="M20" s="53" t="s">
        <v>203</v>
      </c>
      <c r="N20" s="53"/>
      <c r="O20" s="76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idden="1" x14ac:dyDescent="0.25">
      <c r="A21" s="54" t="s">
        <v>211</v>
      </c>
      <c r="B21" s="54" t="s">
        <v>212</v>
      </c>
      <c r="C21" s="54" t="s">
        <v>15</v>
      </c>
      <c r="D21" s="54" t="s">
        <v>51</v>
      </c>
      <c r="E21" s="54" t="s">
        <v>213</v>
      </c>
      <c r="F21" s="54" t="s">
        <v>160</v>
      </c>
      <c r="G21" s="54">
        <v>11</v>
      </c>
      <c r="H21" s="55" t="s">
        <v>30</v>
      </c>
      <c r="I21" s="66" t="s">
        <v>214</v>
      </c>
      <c r="J21" s="66" t="s">
        <v>214</v>
      </c>
      <c r="K21" s="56" t="s">
        <v>80</v>
      </c>
      <c r="L21" s="56" t="s">
        <v>202</v>
      </c>
      <c r="M21" s="53" t="s">
        <v>163</v>
      </c>
      <c r="N21" s="53"/>
      <c r="O21" s="76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idden="1" x14ac:dyDescent="0.25">
      <c r="A22" s="54" t="s">
        <v>215</v>
      </c>
      <c r="B22" s="54" t="s">
        <v>216</v>
      </c>
      <c r="C22" s="54" t="s">
        <v>15</v>
      </c>
      <c r="D22" s="54" t="s">
        <v>51</v>
      </c>
      <c r="E22" s="54" t="s">
        <v>159</v>
      </c>
      <c r="F22" s="54" t="s">
        <v>160</v>
      </c>
      <c r="G22" s="54">
        <v>11</v>
      </c>
      <c r="H22" s="55" t="s">
        <v>201</v>
      </c>
      <c r="I22" s="67">
        <v>45873</v>
      </c>
      <c r="J22" s="67">
        <v>45904</v>
      </c>
      <c r="K22" s="56" t="s">
        <v>80</v>
      </c>
      <c r="L22" s="56" t="s">
        <v>202</v>
      </c>
      <c r="M22" s="53" t="s">
        <v>203</v>
      </c>
      <c r="N22" s="53"/>
      <c r="O22" s="76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idden="1" x14ac:dyDescent="0.25">
      <c r="A23" s="54" t="s">
        <v>217</v>
      </c>
      <c r="B23" s="54" t="s">
        <v>218</v>
      </c>
      <c r="C23" s="54" t="s">
        <v>15</v>
      </c>
      <c r="D23" s="54" t="s">
        <v>51</v>
      </c>
      <c r="E23" s="54" t="s">
        <v>213</v>
      </c>
      <c r="F23" s="54" t="s">
        <v>160</v>
      </c>
      <c r="G23" s="54">
        <v>11</v>
      </c>
      <c r="H23" s="55" t="s">
        <v>30</v>
      </c>
      <c r="I23" s="66" t="s">
        <v>219</v>
      </c>
      <c r="J23" s="66" t="s">
        <v>219</v>
      </c>
      <c r="K23" s="56" t="s">
        <v>80</v>
      </c>
      <c r="L23" s="56" t="s">
        <v>202</v>
      </c>
      <c r="M23" s="53" t="s">
        <v>203</v>
      </c>
      <c r="N23" s="53"/>
      <c r="O23" s="76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idden="1" x14ac:dyDescent="0.25">
      <c r="A24" s="54" t="s">
        <v>49</v>
      </c>
      <c r="B24" s="54" t="s">
        <v>50</v>
      </c>
      <c r="C24" s="54" t="s">
        <v>15</v>
      </c>
      <c r="D24" s="54" t="s">
        <v>51</v>
      </c>
      <c r="E24" s="54" t="s">
        <v>53</v>
      </c>
      <c r="F24" s="54" t="s">
        <v>160</v>
      </c>
      <c r="G24" s="54">
        <v>11</v>
      </c>
      <c r="H24" s="55" t="s">
        <v>201</v>
      </c>
      <c r="I24" s="67">
        <v>45904</v>
      </c>
      <c r="J24" s="67">
        <v>45934</v>
      </c>
      <c r="K24" s="56" t="s">
        <v>80</v>
      </c>
      <c r="L24" s="56" t="s">
        <v>202</v>
      </c>
      <c r="M24" s="53" t="s">
        <v>203</v>
      </c>
      <c r="N24" s="53"/>
      <c r="O24" s="76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idden="1" x14ac:dyDescent="0.25">
      <c r="A25" s="54" t="s">
        <v>220</v>
      </c>
      <c r="B25" s="54" t="s">
        <v>221</v>
      </c>
      <c r="C25" s="54" t="s">
        <v>15</v>
      </c>
      <c r="D25" s="54" t="s">
        <v>51</v>
      </c>
      <c r="E25" s="54" t="s">
        <v>213</v>
      </c>
      <c r="F25" s="54" t="s">
        <v>160</v>
      </c>
      <c r="G25" s="54">
        <v>11</v>
      </c>
      <c r="H25" s="55" t="s">
        <v>30</v>
      </c>
      <c r="I25" s="66" t="s">
        <v>219</v>
      </c>
      <c r="J25" s="66" t="s">
        <v>219</v>
      </c>
      <c r="K25" s="56" t="s">
        <v>80</v>
      </c>
      <c r="L25" s="56"/>
      <c r="M25" s="53" t="s">
        <v>203</v>
      </c>
      <c r="N25" s="53"/>
      <c r="O25" s="76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idden="1" x14ac:dyDescent="0.25">
      <c r="A26" s="54" t="s">
        <v>222</v>
      </c>
      <c r="B26" s="54" t="s">
        <v>223</v>
      </c>
      <c r="C26" s="54" t="s">
        <v>15</v>
      </c>
      <c r="D26" s="54" t="s">
        <v>51</v>
      </c>
      <c r="E26" s="54" t="s">
        <v>159</v>
      </c>
      <c r="F26" s="54" t="s">
        <v>21</v>
      </c>
      <c r="G26" s="54">
        <v>11</v>
      </c>
      <c r="H26" s="55" t="s">
        <v>19</v>
      </c>
      <c r="I26" s="67">
        <v>45873</v>
      </c>
      <c r="J26" s="67">
        <v>45813</v>
      </c>
      <c r="K26" s="56" t="s">
        <v>80</v>
      </c>
      <c r="L26" s="57" t="s">
        <v>224</v>
      </c>
      <c r="M26" s="52" t="s">
        <v>203</v>
      </c>
      <c r="N26" s="53"/>
      <c r="O26" s="76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30" hidden="1" customHeight="1" x14ac:dyDescent="0.25">
      <c r="A27" s="58" t="s">
        <v>225</v>
      </c>
      <c r="B27" s="58" t="s">
        <v>226</v>
      </c>
      <c r="C27" s="58" t="s">
        <v>15</v>
      </c>
      <c r="D27" s="58" t="s">
        <v>51</v>
      </c>
      <c r="E27" s="58" t="s">
        <v>124</v>
      </c>
      <c r="F27" s="58" t="s">
        <v>160</v>
      </c>
      <c r="G27" s="58">
        <v>11</v>
      </c>
      <c r="H27" s="59" t="s">
        <v>227</v>
      </c>
      <c r="I27" s="68"/>
      <c r="J27" s="68"/>
      <c r="K27" s="60" t="s">
        <v>80</v>
      </c>
      <c r="L27" s="61" t="s">
        <v>228</v>
      </c>
      <c r="M27" s="53"/>
      <c r="N27" s="53" t="s">
        <v>229</v>
      </c>
      <c r="O27" s="76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idden="1" x14ac:dyDescent="0.25">
      <c r="A28" s="54" t="s">
        <v>230</v>
      </c>
      <c r="B28" s="54" t="s">
        <v>231</v>
      </c>
      <c r="C28" s="54" t="s">
        <v>15</v>
      </c>
      <c r="D28" s="54" t="s">
        <v>51</v>
      </c>
      <c r="E28" s="54" t="s">
        <v>159</v>
      </c>
      <c r="F28" s="54" t="s">
        <v>160</v>
      </c>
      <c r="G28" s="54">
        <v>11</v>
      </c>
      <c r="H28" s="55" t="s">
        <v>201</v>
      </c>
      <c r="I28" s="67">
        <v>45965</v>
      </c>
      <c r="J28" s="67">
        <v>45965</v>
      </c>
      <c r="K28" s="56" t="s">
        <v>80</v>
      </c>
      <c r="L28" s="56" t="s">
        <v>202</v>
      </c>
      <c r="M28" s="53" t="s">
        <v>203</v>
      </c>
      <c r="N28" s="53"/>
      <c r="O28" s="76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30" hidden="1" customHeight="1" x14ac:dyDescent="0.25">
      <c r="A29" s="58" t="s">
        <v>232</v>
      </c>
      <c r="B29" s="58" t="s">
        <v>233</v>
      </c>
      <c r="C29" s="58" t="s">
        <v>15</v>
      </c>
      <c r="D29" s="58" t="s">
        <v>51</v>
      </c>
      <c r="E29" s="58" t="s">
        <v>124</v>
      </c>
      <c r="F29" s="58" t="s">
        <v>160</v>
      </c>
      <c r="G29" s="58">
        <v>11</v>
      </c>
      <c r="H29" s="59" t="s">
        <v>227</v>
      </c>
      <c r="I29" s="68"/>
      <c r="J29" s="68"/>
      <c r="K29" s="60" t="s">
        <v>80</v>
      </c>
      <c r="L29" s="61" t="s">
        <v>228</v>
      </c>
      <c r="M29" s="53"/>
      <c r="N29" s="53" t="s">
        <v>229</v>
      </c>
      <c r="O29" s="76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45" hidden="1" customHeight="1" x14ac:dyDescent="0.25">
      <c r="A30" s="58" t="s">
        <v>234</v>
      </c>
      <c r="B30" s="58" t="s">
        <v>235</v>
      </c>
      <c r="C30" s="58" t="s">
        <v>15</v>
      </c>
      <c r="D30" s="58" t="s">
        <v>51</v>
      </c>
      <c r="E30" s="58" t="s">
        <v>124</v>
      </c>
      <c r="F30" s="58" t="s">
        <v>160</v>
      </c>
      <c r="G30" s="58">
        <v>11</v>
      </c>
      <c r="H30" s="59" t="s">
        <v>227</v>
      </c>
      <c r="I30" s="68"/>
      <c r="J30" s="68"/>
      <c r="K30" s="60" t="s">
        <v>80</v>
      </c>
      <c r="L30" s="61" t="s">
        <v>236</v>
      </c>
      <c r="M30" s="53"/>
      <c r="N30" s="53" t="s">
        <v>229</v>
      </c>
      <c r="O30" s="76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idden="1" x14ac:dyDescent="0.25">
      <c r="A31" s="54" t="s">
        <v>237</v>
      </c>
      <c r="B31" s="54" t="s">
        <v>238</v>
      </c>
      <c r="C31" s="54" t="s">
        <v>15</v>
      </c>
      <c r="D31" s="54" t="s">
        <v>51</v>
      </c>
      <c r="E31" s="54" t="s">
        <v>159</v>
      </c>
      <c r="F31" s="54" t="s">
        <v>160</v>
      </c>
      <c r="G31" s="54">
        <v>11</v>
      </c>
      <c r="H31" s="55" t="s">
        <v>201</v>
      </c>
      <c r="I31" s="67">
        <v>45904</v>
      </c>
      <c r="J31" s="67">
        <v>45934</v>
      </c>
      <c r="K31" s="56" t="s">
        <v>80</v>
      </c>
      <c r="L31" s="56" t="s">
        <v>202</v>
      </c>
      <c r="M31" s="53" t="s">
        <v>203</v>
      </c>
      <c r="N31" s="53"/>
      <c r="O31" s="76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idden="1" x14ac:dyDescent="0.25">
      <c r="A32" s="54" t="s">
        <v>239</v>
      </c>
      <c r="B32" s="54" t="s">
        <v>240</v>
      </c>
      <c r="C32" s="54" t="s">
        <v>15</v>
      </c>
      <c r="D32" s="54" t="s">
        <v>51</v>
      </c>
      <c r="E32" s="54" t="s">
        <v>182</v>
      </c>
      <c r="F32" s="54" t="s">
        <v>21</v>
      </c>
      <c r="G32" s="54">
        <v>11</v>
      </c>
      <c r="H32" s="55" t="s">
        <v>19</v>
      </c>
      <c r="I32" s="67">
        <v>45873</v>
      </c>
      <c r="J32" s="67" t="s">
        <v>191</v>
      </c>
      <c r="K32" s="56" t="s">
        <v>80</v>
      </c>
      <c r="L32" s="57" t="s">
        <v>241</v>
      </c>
      <c r="M32" s="53" t="s">
        <v>203</v>
      </c>
      <c r="N32" s="53"/>
      <c r="O32" s="76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idden="1" x14ac:dyDescent="0.25">
      <c r="A33" s="54" t="s">
        <v>242</v>
      </c>
      <c r="B33" s="54" t="s">
        <v>243</v>
      </c>
      <c r="C33" s="54" t="s">
        <v>15</v>
      </c>
      <c r="D33" s="54" t="s">
        <v>51</v>
      </c>
      <c r="E33" s="54" t="s">
        <v>138</v>
      </c>
      <c r="F33" s="54" t="s">
        <v>160</v>
      </c>
      <c r="G33" s="54">
        <v>11</v>
      </c>
      <c r="H33" s="55" t="s">
        <v>201</v>
      </c>
      <c r="I33" s="67">
        <v>45934</v>
      </c>
      <c r="J33" s="67">
        <v>45965</v>
      </c>
      <c r="K33" s="56" t="s">
        <v>80</v>
      </c>
      <c r="L33" s="57" t="s">
        <v>244</v>
      </c>
      <c r="M33" s="53" t="s">
        <v>203</v>
      </c>
      <c r="N33" s="53"/>
      <c r="O33" s="76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idden="1" x14ac:dyDescent="0.25">
      <c r="A34" s="54" t="s">
        <v>245</v>
      </c>
      <c r="B34" s="54" t="s">
        <v>246</v>
      </c>
      <c r="C34" s="54" t="s">
        <v>15</v>
      </c>
      <c r="D34" s="54" t="s">
        <v>45</v>
      </c>
      <c r="E34" s="54" t="s">
        <v>159</v>
      </c>
      <c r="F34" s="54" t="s">
        <v>160</v>
      </c>
      <c r="G34" s="54" t="e">
        <v>#N/A</v>
      </c>
      <c r="H34" s="55" t="s">
        <v>19</v>
      </c>
      <c r="I34" s="67" t="s">
        <v>247</v>
      </c>
      <c r="J34" s="67" t="s">
        <v>247</v>
      </c>
      <c r="K34" s="56" t="s">
        <v>80</v>
      </c>
      <c r="L34" s="56"/>
      <c r="M34" s="53" t="s">
        <v>203</v>
      </c>
      <c r="N34" s="53"/>
      <c r="O34" s="76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idden="1" x14ac:dyDescent="0.25">
      <c r="A35" s="54" t="s">
        <v>248</v>
      </c>
      <c r="B35" s="54" t="s">
        <v>249</v>
      </c>
      <c r="C35" s="54" t="s">
        <v>15</v>
      </c>
      <c r="D35" s="54" t="s">
        <v>51</v>
      </c>
      <c r="E35" s="54" t="s">
        <v>159</v>
      </c>
      <c r="F35" s="54" t="s">
        <v>21</v>
      </c>
      <c r="G35" s="54">
        <v>11</v>
      </c>
      <c r="H35" s="55" t="s">
        <v>19</v>
      </c>
      <c r="I35" s="67">
        <v>45873</v>
      </c>
      <c r="J35" s="67">
        <v>45934</v>
      </c>
      <c r="K35" s="56" t="s">
        <v>80</v>
      </c>
      <c r="L35" s="57" t="s">
        <v>250</v>
      </c>
      <c r="M35" s="52" t="s">
        <v>163</v>
      </c>
      <c r="N35" s="53"/>
      <c r="O35" s="76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idden="1" x14ac:dyDescent="0.25">
      <c r="A36" s="54" t="s">
        <v>251</v>
      </c>
      <c r="B36" s="54" t="s">
        <v>252</v>
      </c>
      <c r="C36" s="54" t="s">
        <v>15</v>
      </c>
      <c r="D36" s="54" t="s">
        <v>51</v>
      </c>
      <c r="E36" s="54" t="s">
        <v>159</v>
      </c>
      <c r="F36" s="54" t="s">
        <v>160</v>
      </c>
      <c r="G36" s="54">
        <v>11</v>
      </c>
      <c r="H36" s="55" t="s">
        <v>201</v>
      </c>
      <c r="I36" s="67">
        <v>45934</v>
      </c>
      <c r="J36" s="67">
        <v>45934</v>
      </c>
      <c r="K36" s="56" t="s">
        <v>80</v>
      </c>
      <c r="L36" s="57" t="s">
        <v>250</v>
      </c>
      <c r="M36" s="53" t="s">
        <v>203</v>
      </c>
      <c r="N36" s="53"/>
      <c r="O36" s="76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idden="1" x14ac:dyDescent="0.25">
      <c r="A37" s="54" t="s">
        <v>253</v>
      </c>
      <c r="B37" s="54" t="s">
        <v>254</v>
      </c>
      <c r="C37" s="54" t="s">
        <v>15</v>
      </c>
      <c r="D37" s="54" t="s">
        <v>51</v>
      </c>
      <c r="E37" s="54" t="s">
        <v>159</v>
      </c>
      <c r="F37" s="54" t="s">
        <v>21</v>
      </c>
      <c r="G37" s="54">
        <v>11</v>
      </c>
      <c r="H37" s="55" t="s">
        <v>19</v>
      </c>
      <c r="I37" s="67">
        <v>45842</v>
      </c>
      <c r="J37" s="67">
        <v>45873</v>
      </c>
      <c r="K37" s="56" t="s">
        <v>80</v>
      </c>
      <c r="L37" s="56" t="s">
        <v>202</v>
      </c>
      <c r="M37" s="53" t="s">
        <v>163</v>
      </c>
      <c r="N37" s="53"/>
      <c r="O37" s="76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idden="1" x14ac:dyDescent="0.25">
      <c r="A38" s="54" t="s">
        <v>255</v>
      </c>
      <c r="B38" s="54" t="s">
        <v>256</v>
      </c>
      <c r="C38" s="54" t="s">
        <v>60</v>
      </c>
      <c r="D38" s="54" t="s">
        <v>257</v>
      </c>
      <c r="E38" s="54" t="s">
        <v>159</v>
      </c>
      <c r="F38" s="54" t="s">
        <v>160</v>
      </c>
      <c r="G38" s="54">
        <v>11</v>
      </c>
      <c r="H38" s="55" t="s">
        <v>19</v>
      </c>
      <c r="I38" s="66" t="s">
        <v>189</v>
      </c>
      <c r="J38" s="66" t="s">
        <v>258</v>
      </c>
      <c r="K38" s="56" t="s">
        <v>80</v>
      </c>
      <c r="L38" s="57"/>
      <c r="M38" s="53" t="s">
        <v>203</v>
      </c>
      <c r="N38" s="53"/>
      <c r="O38" s="76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idden="1" x14ac:dyDescent="0.25">
      <c r="A39" s="54" t="s">
        <v>58</v>
      </c>
      <c r="B39" s="54" t="s">
        <v>59</v>
      </c>
      <c r="C39" s="54" t="s">
        <v>60</v>
      </c>
      <c r="D39" s="54" t="s">
        <v>61</v>
      </c>
      <c r="E39" s="54" t="s">
        <v>18</v>
      </c>
      <c r="F39" s="54" t="s">
        <v>160</v>
      </c>
      <c r="G39" s="54">
        <v>17</v>
      </c>
      <c r="H39" s="55"/>
      <c r="I39" s="66" t="s">
        <v>191</v>
      </c>
      <c r="J39" s="66" t="s">
        <v>167</v>
      </c>
      <c r="K39" s="56" t="s">
        <v>80</v>
      </c>
      <c r="L39" s="56" t="s">
        <v>202</v>
      </c>
      <c r="M39" s="62" t="s">
        <v>203</v>
      </c>
      <c r="N39" s="53"/>
      <c r="O39" s="76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idden="1" x14ac:dyDescent="0.25">
      <c r="A40" s="54" t="s">
        <v>259</v>
      </c>
      <c r="B40" s="54" t="s">
        <v>260</v>
      </c>
      <c r="C40" s="54" t="s">
        <v>60</v>
      </c>
      <c r="D40" s="54" t="s">
        <v>128</v>
      </c>
      <c r="E40" s="54" t="s">
        <v>159</v>
      </c>
      <c r="F40" s="54" t="s">
        <v>160</v>
      </c>
      <c r="G40" s="54">
        <v>11</v>
      </c>
      <c r="H40" s="55" t="s">
        <v>201</v>
      </c>
      <c r="I40" s="67">
        <v>45720</v>
      </c>
      <c r="J40" s="67">
        <v>45904</v>
      </c>
      <c r="K40" s="56" t="s">
        <v>80</v>
      </c>
      <c r="L40" s="56" t="s">
        <v>202</v>
      </c>
      <c r="M40" s="53" t="s">
        <v>163</v>
      </c>
      <c r="N40" s="53"/>
      <c r="O40" s="76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idden="1" x14ac:dyDescent="0.25">
      <c r="A41" s="54" t="s">
        <v>97</v>
      </c>
      <c r="B41" s="54" t="s">
        <v>98</v>
      </c>
      <c r="C41" s="54" t="s">
        <v>60</v>
      </c>
      <c r="D41" s="54" t="s">
        <v>91</v>
      </c>
      <c r="E41" s="54" t="s">
        <v>18</v>
      </c>
      <c r="F41" s="54" t="s">
        <v>160</v>
      </c>
      <c r="G41" s="54">
        <v>17</v>
      </c>
      <c r="H41" s="55" t="s">
        <v>19</v>
      </c>
      <c r="I41" s="66" t="s">
        <v>214</v>
      </c>
      <c r="J41" s="66" t="s">
        <v>258</v>
      </c>
      <c r="K41" s="56" t="s">
        <v>80</v>
      </c>
      <c r="L41" s="63" t="s">
        <v>202</v>
      </c>
      <c r="M41" s="53" t="s">
        <v>203</v>
      </c>
      <c r="N41" s="53"/>
      <c r="O41" s="76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idden="1" x14ac:dyDescent="0.25">
      <c r="A42" s="54" t="s">
        <v>94</v>
      </c>
      <c r="B42" s="54" t="s">
        <v>95</v>
      </c>
      <c r="C42" s="54" t="s">
        <v>60</v>
      </c>
      <c r="D42" s="54" t="s">
        <v>91</v>
      </c>
      <c r="E42" s="54" t="s">
        <v>18</v>
      </c>
      <c r="F42" s="54" t="s">
        <v>160</v>
      </c>
      <c r="G42" s="54">
        <v>17</v>
      </c>
      <c r="H42" s="55" t="s">
        <v>19</v>
      </c>
      <c r="I42" s="66" t="s">
        <v>247</v>
      </c>
      <c r="J42" s="66" t="s">
        <v>258</v>
      </c>
      <c r="K42" s="56" t="s">
        <v>80</v>
      </c>
      <c r="L42" s="57" t="s">
        <v>202</v>
      </c>
      <c r="M42" s="53" t="s">
        <v>163</v>
      </c>
      <c r="N42" s="65"/>
      <c r="O42" s="75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78" hidden="1" customHeight="1" x14ac:dyDescent="0.25">
      <c r="A43" s="84" t="s">
        <v>108</v>
      </c>
      <c r="B43" s="84" t="s">
        <v>109</v>
      </c>
      <c r="C43" s="84" t="s">
        <v>60</v>
      </c>
      <c r="D43" s="84" t="s">
        <v>91</v>
      </c>
      <c r="E43" s="84" t="s">
        <v>29</v>
      </c>
      <c r="F43" s="84" t="s">
        <v>160</v>
      </c>
      <c r="G43" s="84">
        <v>11</v>
      </c>
      <c r="H43" s="85" t="s">
        <v>30</v>
      </c>
      <c r="I43" s="87" t="s">
        <v>261</v>
      </c>
      <c r="J43" s="87"/>
      <c r="K43" s="88" t="s">
        <v>186</v>
      </c>
      <c r="L43" s="89" t="s">
        <v>262</v>
      </c>
      <c r="M43" s="53" t="s">
        <v>203</v>
      </c>
      <c r="N43" s="53" t="s">
        <v>263</v>
      </c>
      <c r="O43" s="76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80.25" hidden="1" customHeight="1" x14ac:dyDescent="0.25">
      <c r="A44" s="84" t="s">
        <v>68</v>
      </c>
      <c r="B44" s="84" t="s">
        <v>69</v>
      </c>
      <c r="C44" s="84" t="s">
        <v>60</v>
      </c>
      <c r="D44" s="84" t="s">
        <v>61</v>
      </c>
      <c r="E44" s="84" t="s">
        <v>29</v>
      </c>
      <c r="F44" s="84" t="s">
        <v>160</v>
      </c>
      <c r="G44" s="84">
        <v>11</v>
      </c>
      <c r="H44" s="85" t="s">
        <v>30</v>
      </c>
      <c r="I44" s="87"/>
      <c r="J44" s="87"/>
      <c r="K44" s="88" t="s">
        <v>186</v>
      </c>
      <c r="L44" s="103" t="s">
        <v>264</v>
      </c>
      <c r="M44" s="53" t="s">
        <v>203</v>
      </c>
      <c r="N44" s="83" t="s">
        <v>265</v>
      </c>
      <c r="O44" s="76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idden="1" x14ac:dyDescent="0.25">
      <c r="A45" s="54" t="s">
        <v>266</v>
      </c>
      <c r="B45" s="54" t="s">
        <v>267</v>
      </c>
      <c r="C45" s="54" t="s">
        <v>60</v>
      </c>
      <c r="D45" s="54" t="s">
        <v>257</v>
      </c>
      <c r="E45" s="54" t="s">
        <v>159</v>
      </c>
      <c r="F45" s="54" t="s">
        <v>160</v>
      </c>
      <c r="G45" s="54">
        <v>11</v>
      </c>
      <c r="H45" s="55" t="s">
        <v>19</v>
      </c>
      <c r="I45" s="66" t="s">
        <v>214</v>
      </c>
      <c r="J45" s="66" t="s">
        <v>258</v>
      </c>
      <c r="K45" s="56" t="s">
        <v>80</v>
      </c>
      <c r="L45" s="57"/>
      <c r="M45" s="53" t="s">
        <v>203</v>
      </c>
      <c r="N45" s="53"/>
      <c r="O45" s="76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idden="1" x14ac:dyDescent="0.25">
      <c r="A46" s="54" t="s">
        <v>89</v>
      </c>
      <c r="B46" s="54" t="s">
        <v>90</v>
      </c>
      <c r="C46" s="54" t="s">
        <v>60</v>
      </c>
      <c r="D46" s="54" t="s">
        <v>91</v>
      </c>
      <c r="E46" s="54" t="s">
        <v>18</v>
      </c>
      <c r="F46" s="54" t="s">
        <v>160</v>
      </c>
      <c r="G46" s="54">
        <v>17</v>
      </c>
      <c r="H46" s="55" t="s">
        <v>19</v>
      </c>
      <c r="I46" s="66" t="s">
        <v>247</v>
      </c>
      <c r="J46" s="66" t="s">
        <v>258</v>
      </c>
      <c r="K46" s="56" t="s">
        <v>80</v>
      </c>
      <c r="L46" s="63" t="s">
        <v>202</v>
      </c>
      <c r="M46" s="53" t="s">
        <v>203</v>
      </c>
      <c r="N46" s="53"/>
      <c r="O46" s="76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30" customHeight="1" x14ac:dyDescent="0.25">
      <c r="A47" s="54" t="s">
        <v>268</v>
      </c>
      <c r="B47" s="54" t="s">
        <v>269</v>
      </c>
      <c r="C47" s="54" t="s">
        <v>60</v>
      </c>
      <c r="D47" s="54" t="s">
        <v>74</v>
      </c>
      <c r="E47" s="54" t="s">
        <v>171</v>
      </c>
      <c r="F47" s="54" t="s">
        <v>160</v>
      </c>
      <c r="G47" s="54">
        <v>11</v>
      </c>
      <c r="H47" s="55" t="s">
        <v>201</v>
      </c>
      <c r="I47" s="67">
        <v>45720</v>
      </c>
      <c r="J47" s="66" t="s">
        <v>270</v>
      </c>
      <c r="K47" s="56" t="s">
        <v>80</v>
      </c>
      <c r="L47" s="57" t="s">
        <v>271</v>
      </c>
      <c r="M47" s="53" t="s">
        <v>163</v>
      </c>
      <c r="N47" s="53"/>
      <c r="O47" s="76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65.25" hidden="1" customHeight="1" x14ac:dyDescent="0.25">
      <c r="A48" s="84" t="s">
        <v>104</v>
      </c>
      <c r="B48" s="84" t="s">
        <v>105</v>
      </c>
      <c r="C48" s="84" t="s">
        <v>60</v>
      </c>
      <c r="D48" s="84" t="s">
        <v>91</v>
      </c>
      <c r="E48" s="84" t="s">
        <v>29</v>
      </c>
      <c r="F48" s="84" t="s">
        <v>160</v>
      </c>
      <c r="G48" s="84">
        <v>11</v>
      </c>
      <c r="H48" s="85" t="s">
        <v>30</v>
      </c>
      <c r="I48" s="87" t="s">
        <v>261</v>
      </c>
      <c r="J48" s="87"/>
      <c r="K48" s="88" t="s">
        <v>186</v>
      </c>
      <c r="L48" s="89" t="s">
        <v>272</v>
      </c>
      <c r="M48" s="53" t="s">
        <v>203</v>
      </c>
      <c r="N48" s="53" t="s">
        <v>263</v>
      </c>
      <c r="O48" s="76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idden="1" x14ac:dyDescent="0.25">
      <c r="A49" s="54" t="s">
        <v>85</v>
      </c>
      <c r="B49" s="54" t="s">
        <v>86</v>
      </c>
      <c r="C49" s="54" t="s">
        <v>60</v>
      </c>
      <c r="D49" s="54" t="s">
        <v>74</v>
      </c>
      <c r="E49" s="54" t="s">
        <v>29</v>
      </c>
      <c r="F49" s="54" t="s">
        <v>160</v>
      </c>
      <c r="G49" s="54">
        <v>11</v>
      </c>
      <c r="H49" s="55" t="s">
        <v>30</v>
      </c>
      <c r="I49" s="67">
        <v>45934</v>
      </c>
      <c r="J49" s="67">
        <v>45965</v>
      </c>
      <c r="K49" s="56" t="s">
        <v>80</v>
      </c>
      <c r="L49" s="57" t="s">
        <v>202</v>
      </c>
      <c r="M49" s="53" t="s">
        <v>163</v>
      </c>
      <c r="N49" s="53"/>
      <c r="O49" s="76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idden="1" x14ac:dyDescent="0.25">
      <c r="A50" s="54" t="s">
        <v>70</v>
      </c>
      <c r="B50" s="54" t="s">
        <v>71</v>
      </c>
      <c r="C50" s="54" t="s">
        <v>60</v>
      </c>
      <c r="D50" s="54" t="s">
        <v>61</v>
      </c>
      <c r="E50" s="54" t="s">
        <v>29</v>
      </c>
      <c r="F50" s="54" t="s">
        <v>160</v>
      </c>
      <c r="G50" s="54">
        <v>11</v>
      </c>
      <c r="H50" s="55" t="s">
        <v>30</v>
      </c>
      <c r="I50" s="66" t="s">
        <v>190</v>
      </c>
      <c r="J50" s="66" t="s">
        <v>190</v>
      </c>
      <c r="K50" s="56" t="s">
        <v>80</v>
      </c>
      <c r="L50" s="56"/>
      <c r="M50" s="53" t="s">
        <v>203</v>
      </c>
      <c r="N50" s="53"/>
      <c r="O50" s="76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75.75" hidden="1" customHeight="1" x14ac:dyDescent="0.25">
      <c r="A51" s="84" t="s">
        <v>63</v>
      </c>
      <c r="B51" s="84" t="s">
        <v>64</v>
      </c>
      <c r="C51" s="84" t="s">
        <v>60</v>
      </c>
      <c r="D51" s="84" t="s">
        <v>61</v>
      </c>
      <c r="E51" s="84" t="s">
        <v>29</v>
      </c>
      <c r="F51" s="84" t="s">
        <v>160</v>
      </c>
      <c r="G51" s="84">
        <v>11</v>
      </c>
      <c r="H51" s="85" t="s">
        <v>30</v>
      </c>
      <c r="I51" s="87"/>
      <c r="J51" s="87"/>
      <c r="K51" s="88" t="s">
        <v>186</v>
      </c>
      <c r="L51" s="103" t="s">
        <v>264</v>
      </c>
      <c r="M51" s="53" t="s">
        <v>203</v>
      </c>
      <c r="N51" s="53" t="s">
        <v>263</v>
      </c>
      <c r="O51" s="76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idden="1" x14ac:dyDescent="0.25">
      <c r="A52" s="54" t="s">
        <v>273</v>
      </c>
      <c r="B52" s="54" t="s">
        <v>274</v>
      </c>
      <c r="C52" s="54" t="s">
        <v>112</v>
      </c>
      <c r="D52" s="54" t="s">
        <v>113</v>
      </c>
      <c r="E52" s="54" t="s">
        <v>18</v>
      </c>
      <c r="F52" s="54" t="s">
        <v>160</v>
      </c>
      <c r="G52" s="54">
        <v>11</v>
      </c>
      <c r="H52" s="55" t="s">
        <v>19</v>
      </c>
      <c r="I52" s="66" t="s">
        <v>161</v>
      </c>
      <c r="J52" s="67">
        <v>45905</v>
      </c>
      <c r="K52" s="66" t="s">
        <v>80</v>
      </c>
      <c r="L52" s="57" t="s">
        <v>202</v>
      </c>
      <c r="M52" s="53" t="s">
        <v>163</v>
      </c>
      <c r="N52" s="53"/>
      <c r="O52" s="76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idden="1" x14ac:dyDescent="0.25">
      <c r="A53" s="54" t="s">
        <v>87</v>
      </c>
      <c r="B53" s="54" t="s">
        <v>88</v>
      </c>
      <c r="C53" s="54" t="s">
        <v>60</v>
      </c>
      <c r="D53" s="54" t="s">
        <v>74</v>
      </c>
      <c r="E53" s="54" t="s">
        <v>29</v>
      </c>
      <c r="F53" s="54" t="s">
        <v>160</v>
      </c>
      <c r="G53" s="54">
        <v>11</v>
      </c>
      <c r="H53" s="55" t="s">
        <v>30</v>
      </c>
      <c r="I53" s="67">
        <v>45965</v>
      </c>
      <c r="J53" s="67">
        <v>45965</v>
      </c>
      <c r="K53" s="56" t="s">
        <v>80</v>
      </c>
      <c r="L53" s="57" t="s">
        <v>202</v>
      </c>
      <c r="M53" s="53" t="s">
        <v>163</v>
      </c>
      <c r="N53" s="53"/>
      <c r="O53" s="76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idden="1" x14ac:dyDescent="0.25">
      <c r="A54" s="54" t="s">
        <v>66</v>
      </c>
      <c r="B54" s="54" t="s">
        <v>67</v>
      </c>
      <c r="C54" s="54" t="s">
        <v>60</v>
      </c>
      <c r="D54" s="54" t="s">
        <v>61</v>
      </c>
      <c r="E54" s="54" t="s">
        <v>29</v>
      </c>
      <c r="F54" s="54" t="s">
        <v>160</v>
      </c>
      <c r="G54" s="54">
        <v>11</v>
      </c>
      <c r="H54" s="55" t="s">
        <v>30</v>
      </c>
      <c r="I54" s="67">
        <v>45965</v>
      </c>
      <c r="J54" s="67">
        <v>45965</v>
      </c>
      <c r="K54" s="56" t="s">
        <v>80</v>
      </c>
      <c r="L54" s="57" t="s">
        <v>202</v>
      </c>
      <c r="M54" s="53" t="s">
        <v>203</v>
      </c>
      <c r="N54" s="53"/>
      <c r="O54" s="76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idden="1" x14ac:dyDescent="0.25">
      <c r="A55" s="54" t="s">
        <v>117</v>
      </c>
      <c r="B55" s="54" t="s">
        <v>118</v>
      </c>
      <c r="C55" s="54" t="s">
        <v>112</v>
      </c>
      <c r="D55" s="54" t="s">
        <v>113</v>
      </c>
      <c r="E55" s="54" t="s">
        <v>29</v>
      </c>
      <c r="F55" s="54" t="s">
        <v>21</v>
      </c>
      <c r="G55" s="54">
        <v>11</v>
      </c>
      <c r="H55" s="55" t="s">
        <v>275</v>
      </c>
      <c r="I55" s="67">
        <v>45965</v>
      </c>
      <c r="J55" s="67">
        <v>45905</v>
      </c>
      <c r="K55" s="66" t="s">
        <v>80</v>
      </c>
      <c r="L55" s="57" t="s">
        <v>202</v>
      </c>
      <c r="M55" s="53" t="s">
        <v>163</v>
      </c>
      <c r="N55" s="53"/>
      <c r="O55" s="76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idden="1" x14ac:dyDescent="0.25">
      <c r="A56" s="54" t="s">
        <v>276</v>
      </c>
      <c r="B56" s="54" t="s">
        <v>277</v>
      </c>
      <c r="C56" s="54" t="s">
        <v>60</v>
      </c>
      <c r="D56" s="54" t="s">
        <v>128</v>
      </c>
      <c r="E56" s="54" t="s">
        <v>200</v>
      </c>
      <c r="F56" s="54" t="s">
        <v>160</v>
      </c>
      <c r="G56" s="54">
        <v>11</v>
      </c>
      <c r="H56" s="55" t="s">
        <v>201</v>
      </c>
      <c r="I56" s="67">
        <v>45934</v>
      </c>
      <c r="J56" s="66" t="s">
        <v>270</v>
      </c>
      <c r="K56" s="56" t="s">
        <v>80</v>
      </c>
      <c r="L56" s="56" t="s">
        <v>202</v>
      </c>
      <c r="M56" s="53" t="s">
        <v>163</v>
      </c>
      <c r="N56" s="65"/>
      <c r="O56" s="75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idden="1" x14ac:dyDescent="0.25">
      <c r="A57" s="54" t="s">
        <v>278</v>
      </c>
      <c r="B57" s="54" t="s">
        <v>279</v>
      </c>
      <c r="C57" s="54" t="s">
        <v>60</v>
      </c>
      <c r="D57" s="54" t="s">
        <v>61</v>
      </c>
      <c r="E57" s="54" t="s">
        <v>56</v>
      </c>
      <c r="F57" s="54" t="s">
        <v>160</v>
      </c>
      <c r="G57" s="54">
        <v>11</v>
      </c>
      <c r="H57" s="55"/>
      <c r="I57" s="66" t="s">
        <v>191</v>
      </c>
      <c r="J57" s="66" t="s">
        <v>167</v>
      </c>
      <c r="K57" s="56" t="s">
        <v>80</v>
      </c>
      <c r="L57" s="56" t="s">
        <v>202</v>
      </c>
      <c r="M57" s="53" t="s">
        <v>203</v>
      </c>
      <c r="N57" s="53"/>
      <c r="O57" s="76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45" hidden="1" customHeight="1" x14ac:dyDescent="0.25">
      <c r="A58" s="84" t="s">
        <v>106</v>
      </c>
      <c r="B58" s="84" t="s">
        <v>107</v>
      </c>
      <c r="C58" s="84" t="s">
        <v>60</v>
      </c>
      <c r="D58" s="84" t="s">
        <v>91</v>
      </c>
      <c r="E58" s="84" t="s">
        <v>29</v>
      </c>
      <c r="F58" s="84" t="s">
        <v>160</v>
      </c>
      <c r="G58" s="84">
        <v>11</v>
      </c>
      <c r="H58" s="85" t="s">
        <v>30</v>
      </c>
      <c r="I58" s="87"/>
      <c r="J58" s="87"/>
      <c r="K58" s="88" t="s">
        <v>186</v>
      </c>
      <c r="L58" s="89" t="s">
        <v>193</v>
      </c>
      <c r="M58" s="53"/>
      <c r="N58" s="53"/>
      <c r="O58" s="76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idden="1" x14ac:dyDescent="0.25">
      <c r="A59" s="54" t="s">
        <v>280</v>
      </c>
      <c r="B59" s="54" t="s">
        <v>281</v>
      </c>
      <c r="C59" s="54" t="s">
        <v>60</v>
      </c>
      <c r="D59" s="54" t="s">
        <v>61</v>
      </c>
      <c r="E59" s="54" t="s">
        <v>56</v>
      </c>
      <c r="F59" s="54" t="s">
        <v>160</v>
      </c>
      <c r="G59" s="54">
        <v>11</v>
      </c>
      <c r="H59" s="55"/>
      <c r="I59" s="66" t="s">
        <v>191</v>
      </c>
      <c r="J59" s="66" t="s">
        <v>167</v>
      </c>
      <c r="K59" s="56" t="s">
        <v>80</v>
      </c>
      <c r="L59" s="56" t="s">
        <v>202</v>
      </c>
      <c r="M59" s="53" t="s">
        <v>203</v>
      </c>
      <c r="N59" s="53"/>
      <c r="O59" s="76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idden="1" x14ac:dyDescent="0.25">
      <c r="A60" s="54" t="s">
        <v>282</v>
      </c>
      <c r="B60" s="54" t="s">
        <v>283</v>
      </c>
      <c r="C60" s="54" t="s">
        <v>60</v>
      </c>
      <c r="D60" s="54" t="s">
        <v>128</v>
      </c>
      <c r="E60" s="54" t="s">
        <v>159</v>
      </c>
      <c r="F60" s="54" t="s">
        <v>160</v>
      </c>
      <c r="G60" s="54">
        <v>11</v>
      </c>
      <c r="H60" s="55" t="s">
        <v>201</v>
      </c>
      <c r="I60" s="67">
        <v>45934</v>
      </c>
      <c r="J60" s="67">
        <v>45934</v>
      </c>
      <c r="K60" s="56" t="s">
        <v>80</v>
      </c>
      <c r="L60" s="57" t="s">
        <v>202</v>
      </c>
      <c r="M60" s="53" t="s">
        <v>163</v>
      </c>
      <c r="N60" s="53"/>
      <c r="O60" s="76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idden="1" x14ac:dyDescent="0.25">
      <c r="A61" s="54" t="s">
        <v>284</v>
      </c>
      <c r="B61" s="54" t="s">
        <v>285</v>
      </c>
      <c r="C61" s="54" t="s">
        <v>60</v>
      </c>
      <c r="D61" s="54" t="s">
        <v>128</v>
      </c>
      <c r="E61" s="54" t="s">
        <v>159</v>
      </c>
      <c r="F61" s="54" t="s">
        <v>160</v>
      </c>
      <c r="G61" s="54">
        <v>11</v>
      </c>
      <c r="H61" s="55" t="s">
        <v>201</v>
      </c>
      <c r="I61" s="67">
        <v>45934</v>
      </c>
      <c r="J61" s="67">
        <v>45934</v>
      </c>
      <c r="K61" s="56" t="s">
        <v>80</v>
      </c>
      <c r="L61" s="57" t="s">
        <v>202</v>
      </c>
      <c r="M61" s="53" t="s">
        <v>163</v>
      </c>
      <c r="N61" s="53"/>
      <c r="O61" s="76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idden="1" x14ac:dyDescent="0.25">
      <c r="A62" s="54" t="s">
        <v>286</v>
      </c>
      <c r="B62" s="54" t="s">
        <v>287</v>
      </c>
      <c r="C62" s="54" t="s">
        <v>60</v>
      </c>
      <c r="D62" s="54" t="s">
        <v>61</v>
      </c>
      <c r="E62" s="54" t="s">
        <v>56</v>
      </c>
      <c r="F62" s="54" t="s">
        <v>160</v>
      </c>
      <c r="G62" s="54">
        <v>11</v>
      </c>
      <c r="H62" s="55"/>
      <c r="I62" s="66" t="s">
        <v>185</v>
      </c>
      <c r="J62" s="66" t="s">
        <v>288</v>
      </c>
      <c r="K62" s="56" t="s">
        <v>80</v>
      </c>
      <c r="L62" s="57" t="s">
        <v>289</v>
      </c>
      <c r="M62" s="53" t="s">
        <v>203</v>
      </c>
      <c r="N62" s="53"/>
      <c r="O62" s="76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idden="1" x14ac:dyDescent="0.25">
      <c r="A63" s="54" t="s">
        <v>290</v>
      </c>
      <c r="B63" s="54" t="s">
        <v>291</v>
      </c>
      <c r="C63" s="54" t="s">
        <v>60</v>
      </c>
      <c r="D63" s="54" t="s">
        <v>61</v>
      </c>
      <c r="E63" s="54" t="s">
        <v>56</v>
      </c>
      <c r="F63" s="54" t="s">
        <v>160</v>
      </c>
      <c r="G63" s="54">
        <v>11</v>
      </c>
      <c r="H63" s="55"/>
      <c r="I63" s="66" t="s">
        <v>191</v>
      </c>
      <c r="J63" s="66" t="s">
        <v>288</v>
      </c>
      <c r="K63" s="56" t="s">
        <v>80</v>
      </c>
      <c r="L63" s="57" t="s">
        <v>289</v>
      </c>
      <c r="M63" s="53" t="s">
        <v>203</v>
      </c>
      <c r="N63" s="53"/>
      <c r="O63" s="76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idden="1" x14ac:dyDescent="0.25">
      <c r="A64" s="54" t="s">
        <v>292</v>
      </c>
      <c r="B64" s="54" t="s">
        <v>293</v>
      </c>
      <c r="C64" s="54" t="s">
        <v>60</v>
      </c>
      <c r="D64" s="54" t="s">
        <v>257</v>
      </c>
      <c r="E64" s="54" t="s">
        <v>210</v>
      </c>
      <c r="F64" s="54" t="s">
        <v>160</v>
      </c>
      <c r="G64" s="54">
        <v>11</v>
      </c>
      <c r="H64" s="55" t="s">
        <v>19</v>
      </c>
      <c r="I64" s="66" t="s">
        <v>214</v>
      </c>
      <c r="J64" s="66"/>
      <c r="K64" s="56" t="s">
        <v>80</v>
      </c>
      <c r="L64" s="57"/>
      <c r="M64" s="53" t="s">
        <v>203</v>
      </c>
      <c r="N64" s="53"/>
      <c r="O64" s="76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75" hidden="1" customHeight="1" x14ac:dyDescent="0.25">
      <c r="A65" s="54" t="s">
        <v>294</v>
      </c>
      <c r="B65" s="54" t="s">
        <v>295</v>
      </c>
      <c r="C65" s="54" t="s">
        <v>60</v>
      </c>
      <c r="D65" s="54" t="s">
        <v>74</v>
      </c>
      <c r="E65" s="54" t="s">
        <v>213</v>
      </c>
      <c r="F65" s="54" t="s">
        <v>160</v>
      </c>
      <c r="G65" s="54">
        <v>11</v>
      </c>
      <c r="H65" s="55" t="s">
        <v>296</v>
      </c>
      <c r="I65" s="67">
        <v>45965</v>
      </c>
      <c r="J65" s="67">
        <v>45996</v>
      </c>
      <c r="K65" s="56" t="s">
        <v>80</v>
      </c>
      <c r="L65" s="57" t="s">
        <v>297</v>
      </c>
      <c r="M65" s="53" t="s">
        <v>163</v>
      </c>
      <c r="N65" s="83" t="s">
        <v>298</v>
      </c>
      <c r="O65" s="75" t="s">
        <v>299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idden="1" x14ac:dyDescent="0.25">
      <c r="A66" s="54" t="s">
        <v>300</v>
      </c>
      <c r="B66" s="54" t="s">
        <v>301</v>
      </c>
      <c r="C66" s="54" t="s">
        <v>60</v>
      </c>
      <c r="D66" s="54" t="s">
        <v>61</v>
      </c>
      <c r="E66" s="54" t="s">
        <v>213</v>
      </c>
      <c r="F66" s="54" t="s">
        <v>160</v>
      </c>
      <c r="G66" s="54">
        <v>11</v>
      </c>
      <c r="H66" s="55" t="s">
        <v>30</v>
      </c>
      <c r="I66" s="66" t="s">
        <v>161</v>
      </c>
      <c r="J66" s="66" t="s">
        <v>161</v>
      </c>
      <c r="K66" s="56" t="s">
        <v>80</v>
      </c>
      <c r="L66" s="56"/>
      <c r="M66" s="53" t="s">
        <v>203</v>
      </c>
      <c r="N66" s="53"/>
      <c r="O66" s="76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idden="1" x14ac:dyDescent="0.25">
      <c r="A67" s="54" t="s">
        <v>78</v>
      </c>
      <c r="B67" s="54" t="s">
        <v>79</v>
      </c>
      <c r="C67" s="54" t="s">
        <v>60</v>
      </c>
      <c r="D67" s="54" t="s">
        <v>74</v>
      </c>
      <c r="E67" s="54" t="s">
        <v>53</v>
      </c>
      <c r="F67" s="54" t="s">
        <v>160</v>
      </c>
      <c r="G67" s="54">
        <v>11</v>
      </c>
      <c r="H67" s="55" t="s">
        <v>201</v>
      </c>
      <c r="I67" s="67">
        <v>45720</v>
      </c>
      <c r="J67" s="66" t="s">
        <v>261</v>
      </c>
      <c r="K67" s="56" t="s">
        <v>80</v>
      </c>
      <c r="L67" s="57" t="s">
        <v>202</v>
      </c>
      <c r="M67" s="53" t="s">
        <v>163</v>
      </c>
      <c r="N67" s="53"/>
      <c r="O67" s="76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idden="1" x14ac:dyDescent="0.25">
      <c r="A68" s="54" t="s">
        <v>72</v>
      </c>
      <c r="B68" s="54" t="s">
        <v>73</v>
      </c>
      <c r="C68" s="54" t="s">
        <v>60</v>
      </c>
      <c r="D68" s="54" t="s">
        <v>74</v>
      </c>
      <c r="E68" s="54" t="s">
        <v>53</v>
      </c>
      <c r="F68" s="54" t="s">
        <v>160</v>
      </c>
      <c r="G68" s="54">
        <v>11</v>
      </c>
      <c r="H68" s="55" t="s">
        <v>201</v>
      </c>
      <c r="I68" s="67">
        <v>45720</v>
      </c>
      <c r="J68" s="67">
        <v>45965</v>
      </c>
      <c r="K68" s="56" t="s">
        <v>80</v>
      </c>
      <c r="L68" s="57" t="s">
        <v>202</v>
      </c>
      <c r="M68" s="53" t="s">
        <v>163</v>
      </c>
      <c r="N68" s="53"/>
      <c r="O68" s="76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idden="1" x14ac:dyDescent="0.25">
      <c r="A69" s="54" t="s">
        <v>302</v>
      </c>
      <c r="B69" s="54" t="s">
        <v>303</v>
      </c>
      <c r="C69" s="54" t="s">
        <v>60</v>
      </c>
      <c r="D69" s="54" t="s">
        <v>128</v>
      </c>
      <c r="E69" s="54" t="s">
        <v>213</v>
      </c>
      <c r="F69" s="54" t="s">
        <v>160</v>
      </c>
      <c r="G69" s="54">
        <v>11</v>
      </c>
      <c r="H69" s="55" t="s">
        <v>296</v>
      </c>
      <c r="I69" s="67">
        <v>45965</v>
      </c>
      <c r="J69" s="67">
        <v>45965</v>
      </c>
      <c r="K69" s="56" t="s">
        <v>80</v>
      </c>
      <c r="L69" s="57" t="s">
        <v>202</v>
      </c>
      <c r="M69" s="53" t="s">
        <v>163</v>
      </c>
      <c r="N69" s="53"/>
      <c r="O69" s="76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45" hidden="1" customHeight="1" x14ac:dyDescent="0.25">
      <c r="A70" s="54" t="s">
        <v>110</v>
      </c>
      <c r="B70" s="54" t="s">
        <v>111</v>
      </c>
      <c r="C70" s="54" t="s">
        <v>112</v>
      </c>
      <c r="D70" s="54" t="s">
        <v>113</v>
      </c>
      <c r="E70" s="54" t="s">
        <v>115</v>
      </c>
      <c r="F70" s="54" t="s">
        <v>160</v>
      </c>
      <c r="G70" s="54">
        <v>11</v>
      </c>
      <c r="H70" s="55" t="s">
        <v>19</v>
      </c>
      <c r="I70" s="66" t="s">
        <v>161</v>
      </c>
      <c r="J70" s="66" t="s">
        <v>270</v>
      </c>
      <c r="K70" s="56" t="s">
        <v>80</v>
      </c>
      <c r="L70" s="57" t="s">
        <v>304</v>
      </c>
      <c r="M70" s="53" t="s">
        <v>163</v>
      </c>
      <c r="N70" s="65"/>
      <c r="O70" s="75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idden="1" x14ac:dyDescent="0.25">
      <c r="A71" s="54" t="s">
        <v>76</v>
      </c>
      <c r="B71" s="54" t="s">
        <v>77</v>
      </c>
      <c r="C71" s="54" t="s">
        <v>60</v>
      </c>
      <c r="D71" s="54" t="s">
        <v>74</v>
      </c>
      <c r="E71" s="54" t="s">
        <v>53</v>
      </c>
      <c r="F71" s="54" t="s">
        <v>160</v>
      </c>
      <c r="G71" s="54">
        <v>11</v>
      </c>
      <c r="H71" s="55" t="s">
        <v>201</v>
      </c>
      <c r="I71" s="67">
        <v>45904</v>
      </c>
      <c r="J71" s="67">
        <v>45904</v>
      </c>
      <c r="K71" s="56" t="s">
        <v>80</v>
      </c>
      <c r="L71" s="57" t="s">
        <v>202</v>
      </c>
      <c r="M71" s="53" t="s">
        <v>163</v>
      </c>
      <c r="N71" s="53"/>
      <c r="O71" s="76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idden="1" x14ac:dyDescent="0.25">
      <c r="A72" s="58" t="s">
        <v>133</v>
      </c>
      <c r="B72" s="58" t="s">
        <v>134</v>
      </c>
      <c r="C72" s="58" t="s">
        <v>60</v>
      </c>
      <c r="D72" s="58" t="s">
        <v>128</v>
      </c>
      <c r="E72" s="58" t="s">
        <v>124</v>
      </c>
      <c r="F72" s="58" t="s">
        <v>160</v>
      </c>
      <c r="G72" s="58">
        <v>11</v>
      </c>
      <c r="H72" s="59" t="s">
        <v>227</v>
      </c>
      <c r="I72" s="68"/>
      <c r="J72" s="68"/>
      <c r="K72" s="60" t="s">
        <v>80</v>
      </c>
      <c r="L72" s="61" t="s">
        <v>305</v>
      </c>
      <c r="M72" s="53"/>
      <c r="N72" s="53" t="s">
        <v>229</v>
      </c>
      <c r="O72" s="76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idden="1" x14ac:dyDescent="0.25">
      <c r="A73" s="58" t="s">
        <v>306</v>
      </c>
      <c r="B73" s="58" t="s">
        <v>307</v>
      </c>
      <c r="C73" s="58" t="s">
        <v>112</v>
      </c>
      <c r="D73" s="58" t="s">
        <v>113</v>
      </c>
      <c r="E73" s="58" t="s">
        <v>124</v>
      </c>
      <c r="F73" s="58" t="s">
        <v>160</v>
      </c>
      <c r="G73" s="58">
        <v>11</v>
      </c>
      <c r="H73" s="59" t="s">
        <v>227</v>
      </c>
      <c r="I73" s="68"/>
      <c r="J73" s="68"/>
      <c r="K73" s="60" t="s">
        <v>80</v>
      </c>
      <c r="L73" s="61" t="s">
        <v>308</v>
      </c>
      <c r="M73" s="53"/>
      <c r="N73" s="53" t="s">
        <v>229</v>
      </c>
      <c r="O73" s="76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idden="1" x14ac:dyDescent="0.25">
      <c r="A74" s="54" t="s">
        <v>309</v>
      </c>
      <c r="B74" s="54" t="s">
        <v>310</v>
      </c>
      <c r="C74" s="54" t="s">
        <v>60</v>
      </c>
      <c r="D74" s="54" t="s">
        <v>128</v>
      </c>
      <c r="E74" s="54" t="s">
        <v>159</v>
      </c>
      <c r="F74" s="54" t="s">
        <v>160</v>
      </c>
      <c r="G74" s="54">
        <v>11</v>
      </c>
      <c r="H74" s="55" t="s">
        <v>201</v>
      </c>
      <c r="I74" s="67">
        <v>45934</v>
      </c>
      <c r="J74" s="67">
        <v>45934</v>
      </c>
      <c r="K74" s="56" t="s">
        <v>80</v>
      </c>
      <c r="L74" s="57" t="s">
        <v>202</v>
      </c>
      <c r="M74" s="53" t="s">
        <v>163</v>
      </c>
      <c r="N74" s="53"/>
      <c r="O74" s="76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idden="1" x14ac:dyDescent="0.25">
      <c r="A75" s="58" t="s">
        <v>131</v>
      </c>
      <c r="B75" s="58" t="s">
        <v>132</v>
      </c>
      <c r="C75" s="58" t="s">
        <v>60</v>
      </c>
      <c r="D75" s="58" t="s">
        <v>128</v>
      </c>
      <c r="E75" s="58" t="s">
        <v>124</v>
      </c>
      <c r="F75" s="58" t="s">
        <v>160</v>
      </c>
      <c r="G75" s="58">
        <v>11</v>
      </c>
      <c r="H75" s="59" t="s">
        <v>227</v>
      </c>
      <c r="I75" s="68"/>
      <c r="J75" s="68"/>
      <c r="K75" s="60" t="s">
        <v>80</v>
      </c>
      <c r="L75" s="61" t="s">
        <v>305</v>
      </c>
      <c r="M75" s="53"/>
      <c r="N75" s="53" t="s">
        <v>229</v>
      </c>
      <c r="O75" s="76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idden="1" x14ac:dyDescent="0.25">
      <c r="A76" s="58" t="s">
        <v>126</v>
      </c>
      <c r="B76" s="58" t="s">
        <v>127</v>
      </c>
      <c r="C76" s="58" t="s">
        <v>60</v>
      </c>
      <c r="D76" s="58" t="s">
        <v>128</v>
      </c>
      <c r="E76" s="58" t="s">
        <v>124</v>
      </c>
      <c r="F76" s="58" t="s">
        <v>160</v>
      </c>
      <c r="G76" s="58">
        <v>11</v>
      </c>
      <c r="H76" s="59" t="s">
        <v>227</v>
      </c>
      <c r="I76" s="68"/>
      <c r="J76" s="68"/>
      <c r="K76" s="60" t="s">
        <v>80</v>
      </c>
      <c r="L76" s="61" t="s">
        <v>305</v>
      </c>
      <c r="M76" s="53"/>
      <c r="N76" s="53"/>
      <c r="O76" s="76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51" hidden="1" customHeight="1" x14ac:dyDescent="0.25">
      <c r="A77" s="54" t="s">
        <v>311</v>
      </c>
      <c r="B77" s="54" t="s">
        <v>312</v>
      </c>
      <c r="C77" s="54" t="s">
        <v>112</v>
      </c>
      <c r="D77" s="54" t="s">
        <v>113</v>
      </c>
      <c r="E77" s="54" t="s">
        <v>53</v>
      </c>
      <c r="F77" s="54" t="s">
        <v>160</v>
      </c>
      <c r="G77" s="54">
        <v>11</v>
      </c>
      <c r="H77" s="55" t="s">
        <v>19</v>
      </c>
      <c r="I77" s="66" t="s">
        <v>270</v>
      </c>
      <c r="J77" s="66"/>
      <c r="K77" s="56" t="s">
        <v>80</v>
      </c>
      <c r="L77" s="57" t="s">
        <v>313</v>
      </c>
      <c r="M77" s="53" t="s">
        <v>203</v>
      </c>
      <c r="N77" s="65" t="s">
        <v>314</v>
      </c>
      <c r="O77" s="76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idden="1" x14ac:dyDescent="0.25">
      <c r="A78" s="54" t="s">
        <v>315</v>
      </c>
      <c r="B78" s="54" t="s">
        <v>316</v>
      </c>
      <c r="C78" s="54" t="s">
        <v>112</v>
      </c>
      <c r="D78" s="54" t="s">
        <v>113</v>
      </c>
      <c r="E78" s="54" t="s">
        <v>138</v>
      </c>
      <c r="F78" s="54" t="s">
        <v>160</v>
      </c>
      <c r="G78" s="54">
        <v>11</v>
      </c>
      <c r="H78" s="55" t="s">
        <v>19</v>
      </c>
      <c r="I78" s="66" t="s">
        <v>270</v>
      </c>
      <c r="J78" s="66" t="s">
        <v>258</v>
      </c>
      <c r="K78" s="56" t="s">
        <v>80</v>
      </c>
      <c r="L78" s="56" t="s">
        <v>313</v>
      </c>
      <c r="M78" s="53" t="s">
        <v>203</v>
      </c>
      <c r="N78" s="53" t="s">
        <v>317</v>
      </c>
      <c r="O78" s="76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idden="1" x14ac:dyDescent="0.25">
      <c r="A79" s="54" t="s">
        <v>136</v>
      </c>
      <c r="B79" s="54" t="s">
        <v>137</v>
      </c>
      <c r="C79" s="54" t="s">
        <v>60</v>
      </c>
      <c r="D79" s="54" t="s">
        <v>74</v>
      </c>
      <c r="E79" s="54" t="s">
        <v>138</v>
      </c>
      <c r="F79" s="54" t="s">
        <v>160</v>
      </c>
      <c r="G79" s="54">
        <v>11</v>
      </c>
      <c r="H79" s="55" t="s">
        <v>201</v>
      </c>
      <c r="I79" s="67">
        <v>45934</v>
      </c>
      <c r="J79" s="67">
        <v>45934</v>
      </c>
      <c r="K79" s="56" t="s">
        <v>80</v>
      </c>
      <c r="L79" s="57" t="s">
        <v>202</v>
      </c>
      <c r="M79" s="53" t="s">
        <v>163</v>
      </c>
      <c r="N79" s="53"/>
      <c r="O79" s="76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38.25" hidden="1" customHeight="1" x14ac:dyDescent="0.25">
      <c r="A80" s="54" t="s">
        <v>318</v>
      </c>
      <c r="B80" s="54" t="s">
        <v>319</v>
      </c>
      <c r="C80" s="54" t="s">
        <v>60</v>
      </c>
      <c r="D80" s="54" t="s">
        <v>128</v>
      </c>
      <c r="E80" s="54" t="s">
        <v>182</v>
      </c>
      <c r="F80" s="54" t="s">
        <v>160</v>
      </c>
      <c r="G80" s="54">
        <v>11</v>
      </c>
      <c r="H80" s="55" t="s">
        <v>201</v>
      </c>
      <c r="I80" s="67">
        <v>45842</v>
      </c>
      <c r="J80" s="67">
        <v>45905</v>
      </c>
      <c r="K80" s="56" t="s">
        <v>80</v>
      </c>
      <c r="L80" s="57" t="s">
        <v>320</v>
      </c>
      <c r="M80" s="53" t="s">
        <v>163</v>
      </c>
      <c r="N80" s="92" t="s">
        <v>321</v>
      </c>
      <c r="O80" s="76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27.75" hidden="1" customHeight="1" x14ac:dyDescent="0.25">
      <c r="A81" s="58" t="s">
        <v>122</v>
      </c>
      <c r="B81" s="58" t="s">
        <v>123</v>
      </c>
      <c r="C81" s="58" t="s">
        <v>60</v>
      </c>
      <c r="D81" s="58" t="s">
        <v>74</v>
      </c>
      <c r="E81" s="58" t="s">
        <v>124</v>
      </c>
      <c r="F81" s="58" t="s">
        <v>160</v>
      </c>
      <c r="G81" s="58">
        <v>11</v>
      </c>
      <c r="H81" s="59" t="s">
        <v>227</v>
      </c>
      <c r="I81" s="68"/>
      <c r="J81" s="68"/>
      <c r="K81" s="60" t="s">
        <v>80</v>
      </c>
      <c r="L81" s="61" t="s">
        <v>305</v>
      </c>
      <c r="M81" s="53"/>
      <c r="N81" s="53" t="s">
        <v>229</v>
      </c>
      <c r="O81" s="76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idden="1" x14ac:dyDescent="0.25">
      <c r="A82" s="54" t="s">
        <v>322</v>
      </c>
      <c r="B82" s="54" t="s">
        <v>323</v>
      </c>
      <c r="C82" s="54" t="s">
        <v>60</v>
      </c>
      <c r="D82" s="54" t="s">
        <v>74</v>
      </c>
      <c r="E82" s="54" t="s">
        <v>159</v>
      </c>
      <c r="F82" s="54" t="s">
        <v>21</v>
      </c>
      <c r="G82" s="54">
        <v>11</v>
      </c>
      <c r="H82" s="55" t="s">
        <v>19</v>
      </c>
      <c r="I82" s="67">
        <v>45751</v>
      </c>
      <c r="J82" s="67">
        <v>45934</v>
      </c>
      <c r="K82" s="56" t="s">
        <v>80</v>
      </c>
      <c r="L82" s="56" t="s">
        <v>202</v>
      </c>
      <c r="M82" s="53" t="s">
        <v>163</v>
      </c>
      <c r="N82" s="53"/>
      <c r="O82" s="76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idden="1" x14ac:dyDescent="0.25">
      <c r="A83" s="54" t="s">
        <v>324</v>
      </c>
      <c r="B83" s="54" t="s">
        <v>325</v>
      </c>
      <c r="C83" s="54" t="s">
        <v>60</v>
      </c>
      <c r="D83" s="54" t="s">
        <v>128</v>
      </c>
      <c r="E83" s="54" t="s">
        <v>159</v>
      </c>
      <c r="F83" s="54" t="s">
        <v>21</v>
      </c>
      <c r="G83" s="54">
        <v>11</v>
      </c>
      <c r="H83" s="55" t="s">
        <v>19</v>
      </c>
      <c r="I83" s="67">
        <v>45751</v>
      </c>
      <c r="J83" s="67">
        <v>45873</v>
      </c>
      <c r="K83" s="56" t="s">
        <v>80</v>
      </c>
      <c r="L83" s="56" t="s">
        <v>202</v>
      </c>
      <c r="M83" s="53" t="s">
        <v>163</v>
      </c>
      <c r="N83" s="53"/>
      <c r="O83" s="76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30" hidden="1" customHeight="1" x14ac:dyDescent="0.25">
      <c r="A84" s="54" t="s">
        <v>326</v>
      </c>
      <c r="B84" s="54" t="s">
        <v>327</v>
      </c>
      <c r="C84" s="54" t="s">
        <v>60</v>
      </c>
      <c r="D84" s="54" t="s">
        <v>74</v>
      </c>
      <c r="E84" s="54" t="s">
        <v>159</v>
      </c>
      <c r="F84" s="54" t="s">
        <v>160</v>
      </c>
      <c r="G84" s="54" t="e">
        <v>#N/A</v>
      </c>
      <c r="H84" s="55" t="s">
        <v>201</v>
      </c>
      <c r="I84" s="67">
        <v>45934</v>
      </c>
      <c r="J84" s="67">
        <v>45965</v>
      </c>
      <c r="K84" s="56" t="s">
        <v>80</v>
      </c>
      <c r="L84" s="57" t="s">
        <v>328</v>
      </c>
      <c r="M84" s="53" t="s">
        <v>163</v>
      </c>
      <c r="N84" s="53"/>
      <c r="O84" s="76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idden="1" x14ac:dyDescent="0.25">
      <c r="A85" s="64" t="s">
        <v>329</v>
      </c>
      <c r="B85" s="64" t="s">
        <v>330</v>
      </c>
      <c r="C85" s="64" t="s">
        <v>15</v>
      </c>
      <c r="D85" s="64" t="s">
        <v>36</v>
      </c>
      <c r="E85" s="64" t="s">
        <v>331</v>
      </c>
      <c r="F85" s="64" t="s">
        <v>160</v>
      </c>
      <c r="G85" s="56"/>
      <c r="H85" s="55"/>
      <c r="I85" s="66" t="s">
        <v>189</v>
      </c>
      <c r="J85" s="66" t="s">
        <v>270</v>
      </c>
      <c r="K85" s="56" t="s">
        <v>80</v>
      </c>
      <c r="L85" s="57" t="s">
        <v>202</v>
      </c>
      <c r="M85" s="53" t="s">
        <v>163</v>
      </c>
      <c r="N85" s="53"/>
      <c r="O85" s="76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idden="1" x14ac:dyDescent="0.25">
      <c r="A86" s="64" t="s">
        <v>332</v>
      </c>
      <c r="B86" s="64" t="s">
        <v>333</v>
      </c>
      <c r="C86" s="64" t="s">
        <v>15</v>
      </c>
      <c r="D86" s="64" t="s">
        <v>36</v>
      </c>
      <c r="E86" s="64" t="s">
        <v>331</v>
      </c>
      <c r="F86" s="64" t="s">
        <v>160</v>
      </c>
      <c r="G86" s="56"/>
      <c r="H86" s="55"/>
      <c r="I86" s="66" t="s">
        <v>189</v>
      </c>
      <c r="J86" s="66"/>
      <c r="K86" s="56" t="s">
        <v>80</v>
      </c>
      <c r="L86" s="57" t="s">
        <v>334</v>
      </c>
      <c r="M86" s="53" t="s">
        <v>163</v>
      </c>
      <c r="N86" s="53"/>
      <c r="O86" s="76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45" hidden="1" customHeight="1" x14ac:dyDescent="0.25">
      <c r="A87" s="64" t="s">
        <v>335</v>
      </c>
      <c r="B87" s="64" t="s">
        <v>336</v>
      </c>
      <c r="C87" s="64" t="s">
        <v>15</v>
      </c>
      <c r="D87" s="64" t="s">
        <v>16</v>
      </c>
      <c r="E87" s="64" t="s">
        <v>331</v>
      </c>
      <c r="F87" s="64" t="s">
        <v>160</v>
      </c>
      <c r="G87" s="56"/>
      <c r="H87" s="55"/>
      <c r="I87" s="66" t="s">
        <v>214</v>
      </c>
      <c r="J87" s="66" t="s">
        <v>214</v>
      </c>
      <c r="K87" s="56" t="s">
        <v>80</v>
      </c>
      <c r="L87" s="57" t="s">
        <v>166</v>
      </c>
      <c r="M87" s="53" t="s">
        <v>163</v>
      </c>
      <c r="N87" s="65" t="s">
        <v>164</v>
      </c>
      <c r="O87" s="75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idden="1" x14ac:dyDescent="0.25">
      <c r="A88" s="64" t="s">
        <v>337</v>
      </c>
      <c r="B88" s="64" t="s">
        <v>338</v>
      </c>
      <c r="C88" s="64" t="s">
        <v>15</v>
      </c>
      <c r="D88" s="64" t="s">
        <v>51</v>
      </c>
      <c r="E88" s="64" t="s">
        <v>331</v>
      </c>
      <c r="F88" s="64" t="s">
        <v>160</v>
      </c>
      <c r="G88" s="56"/>
      <c r="H88" s="55"/>
      <c r="I88" s="66" t="s">
        <v>214</v>
      </c>
      <c r="J88" s="66" t="s">
        <v>214</v>
      </c>
      <c r="K88" s="56" t="s">
        <v>80</v>
      </c>
      <c r="L88" s="56" t="s">
        <v>202</v>
      </c>
      <c r="M88" s="53" t="s">
        <v>163</v>
      </c>
      <c r="N88" s="53"/>
      <c r="O88" s="76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idden="1" x14ac:dyDescent="0.25">
      <c r="A89" s="64" t="s">
        <v>339</v>
      </c>
      <c r="B89" s="64" t="s">
        <v>340</v>
      </c>
      <c r="C89" s="64" t="s">
        <v>15</v>
      </c>
      <c r="D89" s="64" t="s">
        <v>45</v>
      </c>
      <c r="E89" s="64" t="s">
        <v>331</v>
      </c>
      <c r="F89" s="64" t="s">
        <v>160</v>
      </c>
      <c r="G89" s="56"/>
      <c r="H89" s="55"/>
      <c r="I89" s="66" t="s">
        <v>214</v>
      </c>
      <c r="J89" s="66" t="s">
        <v>214</v>
      </c>
      <c r="K89" s="56" t="s">
        <v>80</v>
      </c>
      <c r="L89" s="56" t="s">
        <v>202</v>
      </c>
      <c r="M89" s="53" t="s">
        <v>163</v>
      </c>
      <c r="N89" s="53"/>
      <c r="O89" s="76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idden="1" x14ac:dyDescent="0.25">
      <c r="A90" s="64" t="s">
        <v>341</v>
      </c>
      <c r="B90" s="64" t="s">
        <v>342</v>
      </c>
      <c r="C90" s="64" t="s">
        <v>60</v>
      </c>
      <c r="D90" s="64" t="s">
        <v>128</v>
      </c>
      <c r="E90" s="64" t="s">
        <v>331</v>
      </c>
      <c r="F90" s="64" t="s">
        <v>160</v>
      </c>
      <c r="G90" s="56"/>
      <c r="H90" s="55"/>
      <c r="I90" s="66" t="s">
        <v>214</v>
      </c>
      <c r="J90" s="66" t="s">
        <v>214</v>
      </c>
      <c r="K90" s="56" t="s">
        <v>80</v>
      </c>
      <c r="L90" s="56" t="s">
        <v>202</v>
      </c>
      <c r="M90" s="53" t="s">
        <v>163</v>
      </c>
      <c r="N90" s="53"/>
      <c r="O90" s="76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idden="1" x14ac:dyDescent="0.25">
      <c r="A91" s="64" t="s">
        <v>343</v>
      </c>
      <c r="B91" s="64" t="s">
        <v>344</v>
      </c>
      <c r="C91" s="64" t="s">
        <v>60</v>
      </c>
      <c r="D91" s="64" t="s">
        <v>128</v>
      </c>
      <c r="E91" s="64" t="s">
        <v>331</v>
      </c>
      <c r="F91" s="64" t="s">
        <v>160</v>
      </c>
      <c r="G91" s="56"/>
      <c r="H91" s="55"/>
      <c r="I91" s="66" t="s">
        <v>214</v>
      </c>
      <c r="J91" s="66" t="s">
        <v>214</v>
      </c>
      <c r="K91" s="56" t="s">
        <v>80</v>
      </c>
      <c r="L91" s="56" t="s">
        <v>202</v>
      </c>
      <c r="M91" s="53" t="s">
        <v>163</v>
      </c>
      <c r="N91" s="53"/>
      <c r="O91" s="76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idden="1" x14ac:dyDescent="0.25">
      <c r="A92" s="64" t="s">
        <v>345</v>
      </c>
      <c r="B92" s="64" t="s">
        <v>346</v>
      </c>
      <c r="C92" s="64" t="s">
        <v>60</v>
      </c>
      <c r="D92" s="64" t="s">
        <v>128</v>
      </c>
      <c r="E92" s="64" t="s">
        <v>331</v>
      </c>
      <c r="F92" s="64" t="s">
        <v>160</v>
      </c>
      <c r="G92" s="56"/>
      <c r="H92" s="55"/>
      <c r="I92" s="66" t="s">
        <v>247</v>
      </c>
      <c r="J92" s="66" t="s">
        <v>247</v>
      </c>
      <c r="K92" s="56" t="s">
        <v>80</v>
      </c>
      <c r="L92" s="56" t="s">
        <v>202</v>
      </c>
      <c r="M92" s="53" t="s">
        <v>163</v>
      </c>
      <c r="N92" s="53"/>
      <c r="O92" s="76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idden="1" x14ac:dyDescent="0.25">
      <c r="A93" s="78" t="s">
        <v>347</v>
      </c>
      <c r="B93" s="45" t="s">
        <v>348</v>
      </c>
      <c r="C93" s="45" t="s">
        <v>15</v>
      </c>
      <c r="D93" s="79" t="s">
        <v>36</v>
      </c>
      <c r="E93" s="45" t="s">
        <v>349</v>
      </c>
      <c r="F93" s="45" t="s">
        <v>160</v>
      </c>
      <c r="G93" s="78" t="e">
        <v>#N/A</v>
      </c>
      <c r="H93" s="78"/>
      <c r="I93" s="80">
        <v>45874</v>
      </c>
      <c r="J93" s="80">
        <v>45874</v>
      </c>
      <c r="K93" s="45" t="s">
        <v>80</v>
      </c>
      <c r="L93" s="45" t="s">
        <v>350</v>
      </c>
      <c r="M93" s="44" t="s">
        <v>163</v>
      </c>
      <c r="N93" s="44"/>
      <c r="O93" s="69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idden="1" x14ac:dyDescent="0.25">
      <c r="A94" s="78" t="s">
        <v>351</v>
      </c>
      <c r="B94" s="45" t="s">
        <v>352</v>
      </c>
      <c r="C94" s="45" t="s">
        <v>15</v>
      </c>
      <c r="D94" s="79" t="s">
        <v>51</v>
      </c>
      <c r="E94" s="45" t="s">
        <v>349</v>
      </c>
      <c r="F94" s="45" t="s">
        <v>160</v>
      </c>
      <c r="G94" s="81">
        <v>11</v>
      </c>
      <c r="H94" s="78"/>
      <c r="I94" s="80">
        <v>45874</v>
      </c>
      <c r="J94" s="80">
        <v>45874</v>
      </c>
      <c r="K94" s="45" t="s">
        <v>80</v>
      </c>
      <c r="L94" s="45"/>
      <c r="M94" s="44" t="s">
        <v>163</v>
      </c>
      <c r="N94" s="46"/>
      <c r="O94" s="69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idden="1" x14ac:dyDescent="0.25">
      <c r="A95" s="78" t="s">
        <v>353</v>
      </c>
      <c r="B95" s="45" t="s">
        <v>354</v>
      </c>
      <c r="C95" s="45" t="s">
        <v>60</v>
      </c>
      <c r="D95" s="79" t="s">
        <v>128</v>
      </c>
      <c r="E95" s="45" t="s">
        <v>349</v>
      </c>
      <c r="F95" s="45" t="s">
        <v>160</v>
      </c>
      <c r="G95" s="81">
        <v>11</v>
      </c>
      <c r="H95" s="78"/>
      <c r="I95" s="80">
        <v>45996</v>
      </c>
      <c r="J95" s="45" t="s">
        <v>355</v>
      </c>
      <c r="K95" s="45" t="s">
        <v>80</v>
      </c>
      <c r="L95" s="56" t="s">
        <v>313</v>
      </c>
      <c r="M95" s="44" t="s">
        <v>203</v>
      </c>
      <c r="N95" s="44"/>
      <c r="O95" s="69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idden="1" x14ac:dyDescent="0.25">
      <c r="A96" s="78" t="s">
        <v>356</v>
      </c>
      <c r="B96" s="45" t="s">
        <v>357</v>
      </c>
      <c r="C96" s="45" t="s">
        <v>15</v>
      </c>
      <c r="D96" s="79" t="s">
        <v>51</v>
      </c>
      <c r="E96" s="45" t="s">
        <v>102</v>
      </c>
      <c r="F96" s="45" t="s">
        <v>160</v>
      </c>
      <c r="G96" s="81">
        <v>11</v>
      </c>
      <c r="H96" s="78"/>
      <c r="I96" s="80">
        <v>45874</v>
      </c>
      <c r="J96" s="80">
        <v>45874</v>
      </c>
      <c r="K96" s="45" t="s">
        <v>80</v>
      </c>
      <c r="L96" s="45"/>
      <c r="M96" s="44" t="s">
        <v>163</v>
      </c>
      <c r="N96" s="44"/>
      <c r="O96" s="69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30" hidden="1" customHeight="1" x14ac:dyDescent="0.25">
      <c r="A97" s="55" t="s">
        <v>100</v>
      </c>
      <c r="B97" s="56" t="s">
        <v>101</v>
      </c>
      <c r="C97" s="56" t="s">
        <v>60</v>
      </c>
      <c r="D97" s="66" t="s">
        <v>358</v>
      </c>
      <c r="E97" s="56" t="s">
        <v>102</v>
      </c>
      <c r="F97" s="56" t="s">
        <v>160</v>
      </c>
      <c r="G97" s="120">
        <v>11</v>
      </c>
      <c r="H97" s="55"/>
      <c r="I97" s="121">
        <v>45996</v>
      </c>
      <c r="J97" s="56"/>
      <c r="K97" s="56" t="s">
        <v>80</v>
      </c>
      <c r="L97" s="57" t="s">
        <v>359</v>
      </c>
      <c r="M97" s="44" t="s">
        <v>203</v>
      </c>
      <c r="N97" s="46" t="s">
        <v>360</v>
      </c>
      <c r="O97" s="69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idden="1" x14ac:dyDescent="0.25">
      <c r="A98" s="45" t="s">
        <v>43</v>
      </c>
      <c r="B98" s="45" t="s">
        <v>44</v>
      </c>
      <c r="C98" s="45" t="s">
        <v>15</v>
      </c>
      <c r="D98" s="79" t="s">
        <v>45</v>
      </c>
      <c r="E98" s="45" t="s">
        <v>47</v>
      </c>
      <c r="F98" s="45" t="s">
        <v>160</v>
      </c>
      <c r="G98" s="45" t="e">
        <v>#N/A</v>
      </c>
      <c r="H98" s="78"/>
      <c r="I98" s="80">
        <v>45905</v>
      </c>
      <c r="J98" s="80">
        <v>45905</v>
      </c>
      <c r="K98" s="45" t="s">
        <v>80</v>
      </c>
      <c r="L98" s="45"/>
      <c r="M98" s="44" t="s">
        <v>163</v>
      </c>
      <c r="N98" s="44"/>
      <c r="O98" s="69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idden="1" x14ac:dyDescent="0.25">
      <c r="A99" s="45" t="s">
        <v>82</v>
      </c>
      <c r="B99" s="45" t="s">
        <v>83</v>
      </c>
      <c r="C99" s="45" t="s">
        <v>60</v>
      </c>
      <c r="D99" s="79" t="s">
        <v>74</v>
      </c>
      <c r="E99" s="45" t="s">
        <v>47</v>
      </c>
      <c r="F99" s="45" t="s">
        <v>160</v>
      </c>
      <c r="G99" s="45">
        <v>11</v>
      </c>
      <c r="H99" s="78"/>
      <c r="I99" s="80">
        <v>45874</v>
      </c>
      <c r="J99" s="80">
        <v>45874</v>
      </c>
      <c r="K99" s="45" t="s">
        <v>80</v>
      </c>
      <c r="L99" s="45" t="s">
        <v>359</v>
      </c>
      <c r="M99" s="44" t="s">
        <v>203</v>
      </c>
      <c r="N99" s="44"/>
      <c r="O99" s="69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30" hidden="1" customHeight="1" x14ac:dyDescent="0.25">
      <c r="A100" s="45" t="s">
        <v>361</v>
      </c>
      <c r="B100" s="45" t="s">
        <v>362</v>
      </c>
      <c r="C100" s="45" t="s">
        <v>15</v>
      </c>
      <c r="D100" s="79" t="s">
        <v>51</v>
      </c>
      <c r="E100" s="45" t="s">
        <v>363</v>
      </c>
      <c r="F100" s="45" t="s">
        <v>160</v>
      </c>
      <c r="G100" s="45">
        <v>11</v>
      </c>
      <c r="H100" s="78"/>
      <c r="I100" s="80">
        <v>45874</v>
      </c>
      <c r="J100" s="80">
        <v>45874</v>
      </c>
      <c r="K100" s="45" t="s">
        <v>80</v>
      </c>
      <c r="L100" s="82" t="s">
        <v>364</v>
      </c>
      <c r="M100" s="44" t="s">
        <v>163</v>
      </c>
      <c r="N100" s="44"/>
      <c r="O100" s="69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idden="1" x14ac:dyDescent="0.25">
      <c r="A101" s="97" t="s">
        <v>365</v>
      </c>
      <c r="B101" s="97" t="s">
        <v>366</v>
      </c>
      <c r="C101" s="97" t="s">
        <v>60</v>
      </c>
      <c r="D101" s="97" t="s">
        <v>74</v>
      </c>
      <c r="E101" s="97" t="s">
        <v>363</v>
      </c>
      <c r="F101" s="97" t="s">
        <v>160</v>
      </c>
      <c r="G101" s="97">
        <v>11</v>
      </c>
      <c r="H101" s="107"/>
      <c r="I101" s="108">
        <v>45874</v>
      </c>
      <c r="J101" s="97" t="s">
        <v>367</v>
      </c>
      <c r="K101" s="97" t="s">
        <v>80</v>
      </c>
      <c r="L101" s="109" t="s">
        <v>359</v>
      </c>
      <c r="M101" s="44" t="s">
        <v>203</v>
      </c>
      <c r="N101" s="44" t="s">
        <v>368</v>
      </c>
      <c r="O101" s="69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idden="1" x14ac:dyDescent="0.25">
      <c r="A102" s="110" t="s">
        <v>369</v>
      </c>
      <c r="B102" s="110" t="s">
        <v>370</v>
      </c>
      <c r="C102" s="110" t="s">
        <v>15</v>
      </c>
      <c r="D102" s="110" t="s">
        <v>51</v>
      </c>
      <c r="E102" s="110" t="s">
        <v>371</v>
      </c>
      <c r="F102" s="110" t="s">
        <v>160</v>
      </c>
      <c r="G102" s="110"/>
      <c r="H102" s="78"/>
      <c r="I102" s="80">
        <v>45722</v>
      </c>
      <c r="J102" s="80">
        <v>45753</v>
      </c>
      <c r="K102" s="45" t="s">
        <v>80</v>
      </c>
      <c r="L102" s="45" t="s">
        <v>372</v>
      </c>
      <c r="M102" s="106" t="s">
        <v>163</v>
      </c>
      <c r="N102" s="44" t="s">
        <v>373</v>
      </c>
      <c r="O102" s="69"/>
      <c r="P102" s="8"/>
    </row>
    <row r="103" spans="1:26" hidden="1" x14ac:dyDescent="0.25">
      <c r="A103" s="100" t="s">
        <v>374</v>
      </c>
      <c r="B103" s="100" t="s">
        <v>375</v>
      </c>
      <c r="C103" s="100" t="s">
        <v>60</v>
      </c>
      <c r="D103" s="100" t="s">
        <v>74</v>
      </c>
      <c r="E103" s="100" t="s">
        <v>371</v>
      </c>
      <c r="F103" s="100" t="s">
        <v>21</v>
      </c>
      <c r="G103" s="100"/>
      <c r="H103" s="35"/>
      <c r="I103" s="104">
        <v>45722</v>
      </c>
      <c r="J103" s="44"/>
      <c r="K103" s="44" t="s">
        <v>376</v>
      </c>
      <c r="L103" s="44" t="s">
        <v>377</v>
      </c>
      <c r="M103" s="106" t="s">
        <v>163</v>
      </c>
      <c r="N103" s="44" t="s">
        <v>368</v>
      </c>
      <c r="O103" s="69"/>
      <c r="P103" s="8"/>
    </row>
    <row r="104" spans="1:26" hidden="1" x14ac:dyDescent="0.25">
      <c r="A104" s="110" t="s">
        <v>378</v>
      </c>
      <c r="B104" s="110" t="s">
        <v>379</v>
      </c>
      <c r="C104" s="110" t="s">
        <v>112</v>
      </c>
      <c r="D104" s="110" t="s">
        <v>113</v>
      </c>
      <c r="E104" s="110" t="s">
        <v>371</v>
      </c>
      <c r="F104" s="110" t="s">
        <v>160</v>
      </c>
      <c r="G104" s="110"/>
      <c r="H104" s="78"/>
      <c r="I104" s="80">
        <v>45722</v>
      </c>
      <c r="J104" s="111">
        <v>45753</v>
      </c>
      <c r="K104" s="45" t="s">
        <v>80</v>
      </c>
      <c r="L104" s="45" t="s">
        <v>380</v>
      </c>
      <c r="M104" s="106" t="s">
        <v>163</v>
      </c>
      <c r="N104" s="44" t="s">
        <v>368</v>
      </c>
      <c r="O104" s="69"/>
      <c r="P104" s="8"/>
    </row>
    <row r="105" spans="1:26" hidden="1" x14ac:dyDescent="0.25">
      <c r="A105" s="112" t="s">
        <v>381</v>
      </c>
      <c r="B105" s="113" t="s">
        <v>382</v>
      </c>
      <c r="C105" s="113" t="s">
        <v>60</v>
      </c>
      <c r="D105" s="113" t="s">
        <v>74</v>
      </c>
      <c r="E105" s="113" t="s">
        <v>371</v>
      </c>
      <c r="F105" s="113" t="s">
        <v>21</v>
      </c>
      <c r="G105" s="114"/>
      <c r="H105" s="115"/>
      <c r="I105" s="116">
        <v>45753</v>
      </c>
      <c r="J105" s="116">
        <v>45783</v>
      </c>
      <c r="K105" s="117" t="s">
        <v>80</v>
      </c>
      <c r="L105" s="45" t="s">
        <v>383</v>
      </c>
      <c r="M105" s="44" t="s">
        <v>203</v>
      </c>
      <c r="N105" s="122" t="s">
        <v>368</v>
      </c>
      <c r="O105" s="69"/>
      <c r="P105" s="8"/>
    </row>
    <row r="106" spans="1:26" hidden="1" x14ac:dyDescent="0.25">
      <c r="A106" s="112" t="s">
        <v>384</v>
      </c>
      <c r="B106" s="110" t="s">
        <v>385</v>
      </c>
      <c r="C106" s="110" t="s">
        <v>60</v>
      </c>
      <c r="D106" s="110" t="s">
        <v>74</v>
      </c>
      <c r="E106" s="110" t="s">
        <v>371</v>
      </c>
      <c r="F106" s="110" t="s">
        <v>21</v>
      </c>
      <c r="G106" s="114"/>
      <c r="H106" s="118"/>
      <c r="I106" s="80">
        <v>45783</v>
      </c>
      <c r="J106" s="80">
        <v>45783</v>
      </c>
      <c r="K106" s="45" t="s">
        <v>80</v>
      </c>
      <c r="L106" s="45" t="s">
        <v>383</v>
      </c>
      <c r="M106" s="44" t="s">
        <v>203</v>
      </c>
      <c r="N106" s="44" t="s">
        <v>368</v>
      </c>
      <c r="O106" s="69"/>
      <c r="P106" s="8"/>
    </row>
    <row r="107" spans="1:26" hidden="1" x14ac:dyDescent="0.25">
      <c r="A107" s="93" t="s">
        <v>386</v>
      </c>
      <c r="B107" s="100" t="s">
        <v>387</v>
      </c>
      <c r="C107" s="100" t="s">
        <v>60</v>
      </c>
      <c r="D107" s="100" t="s">
        <v>388</v>
      </c>
      <c r="E107" s="100" t="s">
        <v>371</v>
      </c>
      <c r="F107" s="100" t="s">
        <v>21</v>
      </c>
      <c r="G107" s="98"/>
      <c r="H107" s="95"/>
      <c r="I107" s="104">
        <v>45814</v>
      </c>
      <c r="J107" s="44"/>
      <c r="K107" s="44" t="s">
        <v>389</v>
      </c>
      <c r="L107" s="44" t="s">
        <v>390</v>
      </c>
      <c r="M107" s="44" t="s">
        <v>203</v>
      </c>
      <c r="N107" s="44" t="s">
        <v>368</v>
      </c>
      <c r="O107" s="69"/>
      <c r="P107" s="8"/>
    </row>
    <row r="108" spans="1:26" hidden="1" x14ac:dyDescent="0.25">
      <c r="A108" s="94" t="s">
        <v>391</v>
      </c>
      <c r="B108" s="100" t="s">
        <v>392</v>
      </c>
      <c r="C108" s="100" t="s">
        <v>60</v>
      </c>
      <c r="D108" s="100" t="s">
        <v>388</v>
      </c>
      <c r="E108" s="100" t="s">
        <v>371</v>
      </c>
      <c r="F108" s="100" t="s">
        <v>21</v>
      </c>
      <c r="G108" s="99"/>
      <c r="H108" s="96"/>
      <c r="I108" s="105">
        <v>45753</v>
      </c>
      <c r="J108" s="90"/>
      <c r="K108" s="90" t="s">
        <v>389</v>
      </c>
      <c r="L108" s="90" t="s">
        <v>390</v>
      </c>
      <c r="M108" s="44" t="s">
        <v>203</v>
      </c>
      <c r="N108" s="90" t="s">
        <v>368</v>
      </c>
      <c r="O108" s="91"/>
      <c r="P108" s="8"/>
    </row>
    <row r="109" spans="1:26" x14ac:dyDescent="0.25">
      <c r="P109" s="8"/>
    </row>
    <row r="110" spans="1:26" x14ac:dyDescent="0.25">
      <c r="P110" s="8"/>
    </row>
    <row r="111" spans="1:26" x14ac:dyDescent="0.25">
      <c r="P111" s="8"/>
    </row>
    <row r="112" spans="1:26" x14ac:dyDescent="0.25">
      <c r="P112" s="8"/>
    </row>
    <row r="113" spans="16:16" x14ac:dyDescent="0.25">
      <c r="P113" s="8"/>
    </row>
    <row r="114" spans="16:16" x14ac:dyDescent="0.25">
      <c r="P114" s="8"/>
    </row>
    <row r="115" spans="16:16" x14ac:dyDescent="0.25">
      <c r="P115" s="8"/>
    </row>
  </sheetData>
  <conditionalFormatting sqref="A58:L58">
    <cfRule type="containsText" dxfId="2" priority="1" operator="containsText" text="$K$58 = &quot;In progress&quot;">
      <formula>NOT(ISERROR(SEARCH("$K$58 = ""In progress""",A58)))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2"/>
  <sheetViews>
    <sheetView workbookViewId="0"/>
  </sheetViews>
  <sheetFormatPr defaultRowHeight="15" x14ac:dyDescent="0.25"/>
  <cols>
    <col min="2" max="2" width="21.28515625" bestFit="1" customWidth="1"/>
    <col min="5" max="5" width="20.42578125" customWidth="1"/>
    <col min="6" max="6" width="11.85546875" customWidth="1"/>
    <col min="7" max="7" width="21.140625" customWidth="1"/>
    <col min="8" max="8" width="18.5703125" customWidth="1"/>
    <col min="9" max="9" width="15.42578125" customWidth="1"/>
    <col min="10" max="10" width="17.140625" customWidth="1"/>
    <col min="11" max="11" width="23.7109375" bestFit="1" customWidth="1"/>
    <col min="12" max="12" width="20" customWidth="1"/>
    <col min="13" max="13" width="18.140625" customWidth="1"/>
    <col min="14" max="14" width="63.28515625" customWidth="1"/>
    <col min="19" max="19" width="36.5703125" bestFit="1" customWidth="1"/>
    <col min="22" max="22" width="12.7109375" bestFit="1" customWidth="1"/>
    <col min="23" max="23" width="25.140625" bestFit="1" customWidth="1"/>
  </cols>
  <sheetData>
    <row r="1" spans="1:23" ht="18" customHeight="1" x14ac:dyDescent="0.25">
      <c r="A1" s="123" t="s">
        <v>0</v>
      </c>
      <c r="B1" s="123" t="s">
        <v>1</v>
      </c>
      <c r="C1" s="123" t="s">
        <v>2</v>
      </c>
      <c r="D1" s="123" t="s">
        <v>3</v>
      </c>
      <c r="E1" s="123" t="s">
        <v>5</v>
      </c>
      <c r="F1" s="124" t="s">
        <v>393</v>
      </c>
      <c r="G1" s="124" t="s">
        <v>10</v>
      </c>
      <c r="H1" s="124" t="s">
        <v>9</v>
      </c>
      <c r="I1" s="124" t="s">
        <v>394</v>
      </c>
      <c r="J1" s="124" t="s">
        <v>395</v>
      </c>
      <c r="K1" s="124" t="s">
        <v>396</v>
      </c>
      <c r="L1" s="124" t="s">
        <v>397</v>
      </c>
      <c r="M1" s="51" t="s">
        <v>144</v>
      </c>
      <c r="S1" s="128" t="s">
        <v>398</v>
      </c>
      <c r="T1" s="128" t="s">
        <v>399</v>
      </c>
      <c r="U1" s="128" t="s">
        <v>400</v>
      </c>
      <c r="V1" s="128" t="s">
        <v>154</v>
      </c>
      <c r="W1" s="128" t="s">
        <v>401</v>
      </c>
    </row>
    <row r="2" spans="1:23" ht="45" hidden="1" customHeight="1" x14ac:dyDescent="0.25">
      <c r="A2" s="54" t="s">
        <v>13</v>
      </c>
      <c r="B2" s="54" t="s">
        <v>14</v>
      </c>
      <c r="C2" s="54" t="s">
        <v>15</v>
      </c>
      <c r="D2" s="54" t="s">
        <v>16</v>
      </c>
      <c r="E2" s="54" t="s">
        <v>18</v>
      </c>
      <c r="F2" s="67" t="s">
        <v>402</v>
      </c>
      <c r="G2" s="57" t="s">
        <v>403</v>
      </c>
      <c r="H2" s="56" t="s">
        <v>80</v>
      </c>
      <c r="I2" s="56" t="s">
        <v>22</v>
      </c>
      <c r="J2" s="56" t="s">
        <v>22</v>
      </c>
      <c r="K2" s="56"/>
      <c r="L2" s="56" t="s">
        <v>22</v>
      </c>
      <c r="M2" s="53" t="s">
        <v>163</v>
      </c>
      <c r="N2" s="43" t="s">
        <v>404</v>
      </c>
      <c r="S2" s="43">
        <f>COUNTIF(J2:J72, "") - COUNTIF(H2:H72, "In dismissione") - COUNTIF(E2:E72, "Task Tracker")</f>
        <v>-8</v>
      </c>
      <c r="T2">
        <f>COUNTIF(I2:I72, "OK")</f>
        <v>60</v>
      </c>
      <c r="U2">
        <f>COUNTIF(J2:J72, "OK")</f>
        <v>65</v>
      </c>
      <c r="V2">
        <f>ROWS(A2:M72) - COUNTIF(H2:H72, "In dismissione") - COUNTIF(E2:E72, "Task Tracker")</f>
        <v>57</v>
      </c>
      <c r="W2" s="127">
        <f>ROUND(U2/V2, 2)</f>
        <v>1.1399999999999999</v>
      </c>
    </row>
    <row r="3" spans="1:23" ht="45" hidden="1" customHeight="1" x14ac:dyDescent="0.25">
      <c r="A3" s="54" t="s">
        <v>25</v>
      </c>
      <c r="B3" s="54" t="s">
        <v>26</v>
      </c>
      <c r="C3" s="54" t="s">
        <v>15</v>
      </c>
      <c r="D3" s="54" t="s">
        <v>16</v>
      </c>
      <c r="E3" s="54" t="s">
        <v>18</v>
      </c>
      <c r="F3" s="67" t="s">
        <v>402</v>
      </c>
      <c r="G3" s="57" t="s">
        <v>403</v>
      </c>
      <c r="H3" s="56" t="s">
        <v>80</v>
      </c>
      <c r="I3" s="56" t="s">
        <v>22</v>
      </c>
      <c r="J3" s="56" t="s">
        <v>22</v>
      </c>
      <c r="K3" s="56"/>
      <c r="L3" s="56" t="s">
        <v>22</v>
      </c>
      <c r="M3" s="53" t="s">
        <v>163</v>
      </c>
      <c r="N3" s="43" t="s">
        <v>404</v>
      </c>
    </row>
    <row r="4" spans="1:23" x14ac:dyDescent="0.25">
      <c r="A4" s="54" t="s">
        <v>169</v>
      </c>
      <c r="B4" s="54" t="s">
        <v>170</v>
      </c>
      <c r="C4" s="54" t="s">
        <v>15</v>
      </c>
      <c r="D4" s="54" t="s">
        <v>36</v>
      </c>
      <c r="E4" s="54" t="s">
        <v>171</v>
      </c>
      <c r="F4" s="67">
        <v>45936</v>
      </c>
      <c r="G4" s="57"/>
      <c r="H4" s="56" t="s">
        <v>80</v>
      </c>
      <c r="I4" s="56" t="s">
        <v>22</v>
      </c>
      <c r="J4" s="56" t="s">
        <v>22</v>
      </c>
      <c r="K4" s="57" t="s">
        <v>405</v>
      </c>
      <c r="L4" s="56" t="s">
        <v>22</v>
      </c>
      <c r="M4" s="53" t="s">
        <v>163</v>
      </c>
      <c r="N4" t="s">
        <v>406</v>
      </c>
    </row>
    <row r="5" spans="1:23" ht="30" hidden="1" customHeight="1" x14ac:dyDescent="0.25">
      <c r="A5" s="54" t="s">
        <v>39</v>
      </c>
      <c r="B5" s="54" t="s">
        <v>40</v>
      </c>
      <c r="C5" s="54" t="s">
        <v>15</v>
      </c>
      <c r="D5" s="54" t="s">
        <v>36</v>
      </c>
      <c r="E5" s="54" t="s">
        <v>29</v>
      </c>
      <c r="F5" s="67">
        <v>45936</v>
      </c>
      <c r="G5" s="57"/>
      <c r="H5" s="56" t="s">
        <v>80</v>
      </c>
      <c r="I5" s="56" t="s">
        <v>22</v>
      </c>
      <c r="J5" s="56" t="s">
        <v>22</v>
      </c>
      <c r="K5" s="57" t="s">
        <v>407</v>
      </c>
      <c r="L5" s="56" t="s">
        <v>22</v>
      </c>
      <c r="M5" s="53" t="s">
        <v>163</v>
      </c>
    </row>
    <row r="6" spans="1:23" ht="30" hidden="1" customHeight="1" x14ac:dyDescent="0.25">
      <c r="A6" s="54" t="s">
        <v>23</v>
      </c>
      <c r="B6" s="54" t="s">
        <v>24</v>
      </c>
      <c r="C6" s="54" t="s">
        <v>15</v>
      </c>
      <c r="D6" s="54" t="s">
        <v>16</v>
      </c>
      <c r="E6" s="54" t="s">
        <v>18</v>
      </c>
      <c r="F6" s="67" t="s">
        <v>402</v>
      </c>
      <c r="G6" s="57"/>
      <c r="H6" s="56" t="s">
        <v>80</v>
      </c>
      <c r="I6" s="56" t="s">
        <v>22</v>
      </c>
      <c r="J6" s="56" t="s">
        <v>22</v>
      </c>
      <c r="K6" s="56"/>
      <c r="L6" s="56" t="s">
        <v>22</v>
      </c>
      <c r="M6" s="53" t="s">
        <v>163</v>
      </c>
      <c r="N6" s="43" t="s">
        <v>408</v>
      </c>
    </row>
    <row r="7" spans="1:23" ht="30" hidden="1" customHeight="1" x14ac:dyDescent="0.25">
      <c r="A7" s="54" t="s">
        <v>41</v>
      </c>
      <c r="B7" s="54" t="s">
        <v>42</v>
      </c>
      <c r="C7" s="54" t="s">
        <v>15</v>
      </c>
      <c r="D7" s="54" t="s">
        <v>36</v>
      </c>
      <c r="E7" s="54" t="s">
        <v>29</v>
      </c>
      <c r="F7" s="67">
        <v>45906</v>
      </c>
      <c r="G7" s="57"/>
      <c r="H7" s="56" t="s">
        <v>80</v>
      </c>
      <c r="I7" s="56" t="s">
        <v>22</v>
      </c>
      <c r="J7" s="56" t="s">
        <v>22</v>
      </c>
      <c r="K7" s="57" t="s">
        <v>407</v>
      </c>
      <c r="L7" s="56" t="s">
        <v>22</v>
      </c>
      <c r="M7" s="53" t="s">
        <v>163</v>
      </c>
    </row>
    <row r="8" spans="1:23" ht="30" hidden="1" customHeight="1" x14ac:dyDescent="0.25">
      <c r="A8" s="54" t="s">
        <v>34</v>
      </c>
      <c r="B8" s="54" t="s">
        <v>35</v>
      </c>
      <c r="C8" s="54" t="s">
        <v>15</v>
      </c>
      <c r="D8" s="54" t="s">
        <v>36</v>
      </c>
      <c r="E8" s="54" t="s">
        <v>29</v>
      </c>
      <c r="F8" s="67">
        <v>45997</v>
      </c>
      <c r="G8" s="57"/>
      <c r="H8" s="56" t="s">
        <v>80</v>
      </c>
      <c r="I8" s="56" t="s">
        <v>22</v>
      </c>
      <c r="J8" s="56" t="s">
        <v>22</v>
      </c>
      <c r="K8" s="57" t="s">
        <v>407</v>
      </c>
      <c r="L8" s="56" t="s">
        <v>22</v>
      </c>
      <c r="M8" s="53" t="s">
        <v>163</v>
      </c>
    </row>
    <row r="9" spans="1:23" hidden="1" x14ac:dyDescent="0.25">
      <c r="A9" s="101" t="s">
        <v>27</v>
      </c>
      <c r="B9" s="101" t="s">
        <v>28</v>
      </c>
      <c r="C9" s="101" t="s">
        <v>15</v>
      </c>
      <c r="D9" s="101" t="s">
        <v>16</v>
      </c>
      <c r="E9" s="101" t="s">
        <v>29</v>
      </c>
      <c r="F9" s="87"/>
      <c r="G9" s="102" t="s">
        <v>409</v>
      </c>
      <c r="H9" s="88" t="s">
        <v>186</v>
      </c>
      <c r="I9" s="88"/>
      <c r="J9" s="88"/>
      <c r="K9" s="89" t="s">
        <v>410</v>
      </c>
      <c r="L9" s="88"/>
      <c r="M9" s="53"/>
    </row>
    <row r="10" spans="1:23" ht="30" hidden="1" customHeight="1" x14ac:dyDescent="0.25">
      <c r="A10" s="54" t="s">
        <v>32</v>
      </c>
      <c r="B10" s="54" t="s">
        <v>33</v>
      </c>
      <c r="C10" s="54" t="s">
        <v>15</v>
      </c>
      <c r="D10" s="54" t="s">
        <v>16</v>
      </c>
      <c r="E10" s="54" t="s">
        <v>29</v>
      </c>
      <c r="F10" s="67">
        <v>45814</v>
      </c>
      <c r="G10" s="57"/>
      <c r="H10" s="56" t="s">
        <v>80</v>
      </c>
      <c r="I10" s="56" t="s">
        <v>22</v>
      </c>
      <c r="J10" s="56" t="s">
        <v>22</v>
      </c>
      <c r="K10" s="57" t="s">
        <v>407</v>
      </c>
      <c r="L10" s="56" t="s">
        <v>22</v>
      </c>
      <c r="M10" s="53" t="s">
        <v>163</v>
      </c>
    </row>
    <row r="11" spans="1:23" hidden="1" x14ac:dyDescent="0.25">
      <c r="A11" s="54" t="s">
        <v>217</v>
      </c>
      <c r="B11" s="54" t="s">
        <v>218</v>
      </c>
      <c r="C11" s="54" t="s">
        <v>15</v>
      </c>
      <c r="D11" s="54" t="s">
        <v>51</v>
      </c>
      <c r="E11" s="54" t="s">
        <v>213</v>
      </c>
      <c r="F11" s="66"/>
      <c r="G11" s="56"/>
      <c r="H11" s="56" t="s">
        <v>80</v>
      </c>
      <c r="I11" s="56" t="s">
        <v>22</v>
      </c>
      <c r="J11" s="56" t="s">
        <v>22</v>
      </c>
      <c r="K11" s="56"/>
      <c r="L11" s="56" t="s">
        <v>22</v>
      </c>
      <c r="M11" s="53" t="s">
        <v>203</v>
      </c>
    </row>
    <row r="12" spans="1:23" hidden="1" x14ac:dyDescent="0.25">
      <c r="A12" s="54" t="s">
        <v>220</v>
      </c>
      <c r="B12" s="54" t="s">
        <v>221</v>
      </c>
      <c r="C12" s="54" t="s">
        <v>15</v>
      </c>
      <c r="D12" s="54" t="s">
        <v>51</v>
      </c>
      <c r="E12" s="54" t="s">
        <v>213</v>
      </c>
      <c r="F12" s="66"/>
      <c r="G12" s="56"/>
      <c r="H12" s="56" t="s">
        <v>80</v>
      </c>
      <c r="I12" s="56" t="s">
        <v>22</v>
      </c>
      <c r="J12" s="56" t="s">
        <v>22</v>
      </c>
      <c r="K12" s="56"/>
      <c r="L12" s="56" t="s">
        <v>22</v>
      </c>
      <c r="M12" s="53" t="s">
        <v>203</v>
      </c>
      <c r="N12" t="s">
        <v>411</v>
      </c>
    </row>
    <row r="13" spans="1:23" hidden="1" x14ac:dyDescent="0.25">
      <c r="A13" s="54" t="s">
        <v>300</v>
      </c>
      <c r="B13" s="54" t="s">
        <v>301</v>
      </c>
      <c r="C13" s="54" t="s">
        <v>60</v>
      </c>
      <c r="D13" s="54" t="s">
        <v>61</v>
      </c>
      <c r="E13" s="54" t="s">
        <v>213</v>
      </c>
      <c r="F13" s="66"/>
      <c r="G13" s="56"/>
      <c r="H13" s="56" t="s">
        <v>80</v>
      </c>
      <c r="I13" s="56" t="s">
        <v>22</v>
      </c>
      <c r="J13" s="56" t="s">
        <v>22</v>
      </c>
      <c r="K13" s="56"/>
      <c r="L13" s="56" t="s">
        <v>22</v>
      </c>
      <c r="M13" s="53" t="s">
        <v>203</v>
      </c>
    </row>
    <row r="14" spans="1:23" hidden="1" x14ac:dyDescent="0.25">
      <c r="A14" s="54" t="s">
        <v>211</v>
      </c>
      <c r="B14" s="54" t="s">
        <v>212</v>
      </c>
      <c r="C14" s="54" t="s">
        <v>15</v>
      </c>
      <c r="D14" s="54" t="s">
        <v>51</v>
      </c>
      <c r="E14" s="54" t="s">
        <v>213</v>
      </c>
      <c r="F14" s="67">
        <v>45997</v>
      </c>
      <c r="G14" s="56"/>
      <c r="H14" s="56" t="s">
        <v>80</v>
      </c>
      <c r="I14" s="56" t="s">
        <v>22</v>
      </c>
      <c r="J14" s="56" t="s">
        <v>22</v>
      </c>
      <c r="K14" s="56"/>
      <c r="L14" s="56" t="s">
        <v>22</v>
      </c>
      <c r="M14" s="53" t="s">
        <v>163</v>
      </c>
    </row>
    <row r="15" spans="1:23" hidden="1" x14ac:dyDescent="0.25">
      <c r="A15" s="54" t="s">
        <v>54</v>
      </c>
      <c r="B15" s="54" t="s">
        <v>55</v>
      </c>
      <c r="C15" s="54" t="s">
        <v>15</v>
      </c>
      <c r="D15" s="54" t="s">
        <v>51</v>
      </c>
      <c r="E15" s="54" t="s">
        <v>56</v>
      </c>
      <c r="F15" s="67"/>
      <c r="G15" s="56"/>
      <c r="H15" s="56" t="s">
        <v>80</v>
      </c>
      <c r="I15" s="56" t="s">
        <v>22</v>
      </c>
      <c r="J15" s="56" t="s">
        <v>22</v>
      </c>
      <c r="K15" s="56" t="s">
        <v>412</v>
      </c>
      <c r="L15" s="56" t="s">
        <v>22</v>
      </c>
      <c r="M15" s="53" t="s">
        <v>203</v>
      </c>
    </row>
    <row r="16" spans="1:23" hidden="1" x14ac:dyDescent="0.25">
      <c r="A16" s="54" t="s">
        <v>49</v>
      </c>
      <c r="B16" s="54" t="s">
        <v>50</v>
      </c>
      <c r="C16" s="54" t="s">
        <v>15</v>
      </c>
      <c r="D16" s="54" t="s">
        <v>51</v>
      </c>
      <c r="E16" s="54" t="s">
        <v>53</v>
      </c>
      <c r="F16" s="67" t="s">
        <v>413</v>
      </c>
      <c r="G16" s="56"/>
      <c r="H16" s="56" t="s">
        <v>80</v>
      </c>
      <c r="I16" s="56" t="s">
        <v>22</v>
      </c>
      <c r="J16" s="56" t="s">
        <v>22</v>
      </c>
      <c r="K16" s="56" t="s">
        <v>414</v>
      </c>
      <c r="L16" s="56" t="s">
        <v>22</v>
      </c>
      <c r="M16" s="53" t="s">
        <v>203</v>
      </c>
    </row>
    <row r="17" spans="1:14" hidden="1" x14ac:dyDescent="0.25">
      <c r="A17" s="54" t="s">
        <v>278</v>
      </c>
      <c r="B17" s="54" t="s">
        <v>279</v>
      </c>
      <c r="C17" s="54" t="s">
        <v>60</v>
      </c>
      <c r="D17" s="54" t="s">
        <v>61</v>
      </c>
      <c r="E17" s="54" t="s">
        <v>56</v>
      </c>
      <c r="F17" s="66"/>
      <c r="G17" s="56"/>
      <c r="H17" s="56" t="s">
        <v>80</v>
      </c>
      <c r="I17" s="56" t="s">
        <v>22</v>
      </c>
      <c r="J17" s="56" t="s">
        <v>22</v>
      </c>
      <c r="K17" s="56" t="s">
        <v>412</v>
      </c>
      <c r="L17" s="56" t="s">
        <v>22</v>
      </c>
      <c r="M17" s="53" t="s">
        <v>203</v>
      </c>
    </row>
    <row r="18" spans="1:14" ht="30" customHeight="1" x14ac:dyDescent="0.25">
      <c r="A18" s="58" t="s">
        <v>225</v>
      </c>
      <c r="B18" s="58" t="s">
        <v>226</v>
      </c>
      <c r="C18" s="58" t="s">
        <v>15</v>
      </c>
      <c r="D18" s="58" t="s">
        <v>51</v>
      </c>
      <c r="E18" s="58" t="s">
        <v>124</v>
      </c>
      <c r="F18" s="68"/>
      <c r="G18" s="61"/>
      <c r="H18" s="60" t="s">
        <v>80</v>
      </c>
      <c r="I18" s="60" t="s">
        <v>22</v>
      </c>
      <c r="J18" s="60" t="s">
        <v>22</v>
      </c>
      <c r="K18" s="61" t="s">
        <v>22</v>
      </c>
      <c r="L18" s="60" t="s">
        <v>22</v>
      </c>
      <c r="M18" s="65"/>
      <c r="N18" s="134" t="s">
        <v>415</v>
      </c>
    </row>
    <row r="19" spans="1:14" ht="30" customHeight="1" x14ac:dyDescent="0.25">
      <c r="A19" s="58" t="s">
        <v>232</v>
      </c>
      <c r="B19" s="58" t="s">
        <v>233</v>
      </c>
      <c r="C19" s="58" t="s">
        <v>15</v>
      </c>
      <c r="D19" s="58" t="s">
        <v>51</v>
      </c>
      <c r="E19" s="58" t="s">
        <v>124</v>
      </c>
      <c r="F19" s="68"/>
      <c r="G19" s="61"/>
      <c r="H19" s="60" t="s">
        <v>80</v>
      </c>
      <c r="I19" s="60" t="s">
        <v>22</v>
      </c>
      <c r="J19" s="60" t="s">
        <v>22</v>
      </c>
      <c r="K19" s="61" t="s">
        <v>22</v>
      </c>
      <c r="L19" s="60" t="s">
        <v>22</v>
      </c>
      <c r="M19" s="65"/>
      <c r="N19" s="43" t="s">
        <v>415</v>
      </c>
    </row>
    <row r="20" spans="1:14" ht="30" customHeight="1" x14ac:dyDescent="0.25">
      <c r="A20" s="58" t="s">
        <v>234</v>
      </c>
      <c r="B20" s="58" t="s">
        <v>235</v>
      </c>
      <c r="C20" s="58" t="s">
        <v>15</v>
      </c>
      <c r="D20" s="58" t="s">
        <v>51</v>
      </c>
      <c r="E20" s="58" t="s">
        <v>124</v>
      </c>
      <c r="F20" s="68"/>
      <c r="G20" s="61"/>
      <c r="H20" s="60" t="s">
        <v>80</v>
      </c>
      <c r="I20" s="60" t="s">
        <v>22</v>
      </c>
      <c r="J20" s="60" t="s">
        <v>22</v>
      </c>
      <c r="K20" s="61" t="s">
        <v>22</v>
      </c>
      <c r="L20" s="60" t="s">
        <v>22</v>
      </c>
      <c r="M20" s="65"/>
      <c r="N20" s="43" t="s">
        <v>415</v>
      </c>
    </row>
    <row r="21" spans="1:14" hidden="1" x14ac:dyDescent="0.25">
      <c r="A21" s="54" t="s">
        <v>280</v>
      </c>
      <c r="B21" s="54" t="s">
        <v>281</v>
      </c>
      <c r="C21" s="54" t="s">
        <v>60</v>
      </c>
      <c r="D21" s="54" t="s">
        <v>61</v>
      </c>
      <c r="E21" s="54" t="s">
        <v>56</v>
      </c>
      <c r="F21" s="66"/>
      <c r="G21" s="56"/>
      <c r="H21" s="56" t="s">
        <v>80</v>
      </c>
      <c r="I21" s="56" t="s">
        <v>22</v>
      </c>
      <c r="J21" s="56" t="s">
        <v>22</v>
      </c>
      <c r="K21" s="56" t="s">
        <v>412</v>
      </c>
      <c r="L21" s="56" t="s">
        <v>22</v>
      </c>
      <c r="M21" s="53" t="s">
        <v>203</v>
      </c>
    </row>
    <row r="22" spans="1:14" ht="30" hidden="1" customHeight="1" x14ac:dyDescent="0.25">
      <c r="A22" s="54" t="s">
        <v>58</v>
      </c>
      <c r="B22" s="54" t="s">
        <v>59</v>
      </c>
      <c r="C22" s="54" t="s">
        <v>60</v>
      </c>
      <c r="D22" s="54" t="s">
        <v>61</v>
      </c>
      <c r="E22" s="54" t="s">
        <v>18</v>
      </c>
      <c r="F22" s="67" t="s">
        <v>402</v>
      </c>
      <c r="G22" s="56"/>
      <c r="H22" s="56" t="s">
        <v>80</v>
      </c>
      <c r="I22" s="56" t="s">
        <v>22</v>
      </c>
      <c r="J22" s="56" t="s">
        <v>22</v>
      </c>
      <c r="K22" s="56"/>
      <c r="L22" s="56" t="s">
        <v>22</v>
      </c>
      <c r="M22" s="126" t="s">
        <v>203</v>
      </c>
      <c r="N22" s="43" t="s">
        <v>416</v>
      </c>
    </row>
    <row r="23" spans="1:14" ht="30" hidden="1" customHeight="1" x14ac:dyDescent="0.25">
      <c r="A23" s="54" t="s">
        <v>97</v>
      </c>
      <c r="B23" s="54" t="s">
        <v>98</v>
      </c>
      <c r="C23" s="54" t="s">
        <v>60</v>
      </c>
      <c r="D23" s="54" t="s">
        <v>91</v>
      </c>
      <c r="E23" s="54" t="s">
        <v>18</v>
      </c>
      <c r="F23" s="66"/>
      <c r="G23" s="125"/>
      <c r="H23" s="56" t="s">
        <v>80</v>
      </c>
      <c r="I23" s="56" t="s">
        <v>22</v>
      </c>
      <c r="J23" s="56" t="s">
        <v>22</v>
      </c>
      <c r="K23" s="56"/>
      <c r="L23" s="57" t="s">
        <v>22</v>
      </c>
      <c r="M23" s="53" t="s">
        <v>203</v>
      </c>
      <c r="N23" s="43" t="s">
        <v>416</v>
      </c>
    </row>
    <row r="24" spans="1:14" ht="30" hidden="1" customHeight="1" x14ac:dyDescent="0.25">
      <c r="A24" s="54" t="s">
        <v>94</v>
      </c>
      <c r="B24" s="54" t="s">
        <v>95</v>
      </c>
      <c r="C24" s="54" t="s">
        <v>60</v>
      </c>
      <c r="D24" s="54" t="s">
        <v>91</v>
      </c>
      <c r="E24" s="54" t="s">
        <v>18</v>
      </c>
      <c r="F24" s="67">
        <v>45997</v>
      </c>
      <c r="G24" s="57"/>
      <c r="H24" s="56" t="s">
        <v>80</v>
      </c>
      <c r="I24" s="56" t="s">
        <v>22</v>
      </c>
      <c r="J24" s="56" t="s">
        <v>22</v>
      </c>
      <c r="K24" s="56"/>
      <c r="L24" s="57" t="s">
        <v>22</v>
      </c>
      <c r="M24" s="53" t="s">
        <v>163</v>
      </c>
      <c r="N24" s="43" t="s">
        <v>416</v>
      </c>
    </row>
    <row r="25" spans="1:14" hidden="1" x14ac:dyDescent="0.25">
      <c r="A25" s="54" t="s">
        <v>290</v>
      </c>
      <c r="B25" s="54" t="s">
        <v>291</v>
      </c>
      <c r="C25" s="54" t="s">
        <v>60</v>
      </c>
      <c r="D25" s="54" t="s">
        <v>61</v>
      </c>
      <c r="E25" s="54" t="s">
        <v>56</v>
      </c>
      <c r="F25" s="66"/>
      <c r="G25" s="57"/>
      <c r="H25" s="56" t="s">
        <v>80</v>
      </c>
      <c r="I25" s="56" t="s">
        <v>22</v>
      </c>
      <c r="J25" s="56" t="s">
        <v>22</v>
      </c>
      <c r="K25" s="56" t="s">
        <v>412</v>
      </c>
      <c r="L25" s="56" t="s">
        <v>22</v>
      </c>
      <c r="M25" s="53" t="s">
        <v>203</v>
      </c>
    </row>
    <row r="26" spans="1:14" hidden="1" x14ac:dyDescent="0.25">
      <c r="A26" s="54" t="s">
        <v>208</v>
      </c>
      <c r="B26" s="54" t="s">
        <v>209</v>
      </c>
      <c r="C26" s="54" t="s">
        <v>15</v>
      </c>
      <c r="D26" s="54" t="s">
        <v>51</v>
      </c>
      <c r="E26" s="54" t="s">
        <v>210</v>
      </c>
      <c r="F26" s="67"/>
      <c r="G26" s="56"/>
      <c r="H26" s="56" t="s">
        <v>80</v>
      </c>
      <c r="I26" s="56" t="s">
        <v>22</v>
      </c>
      <c r="J26" s="56" t="s">
        <v>22</v>
      </c>
      <c r="K26" s="56"/>
      <c r="L26" s="56" t="s">
        <v>22</v>
      </c>
      <c r="M26" s="53" t="s">
        <v>203</v>
      </c>
    </row>
    <row r="27" spans="1:14" ht="30" hidden="1" customHeight="1" x14ac:dyDescent="0.25">
      <c r="A27" s="54" t="s">
        <v>89</v>
      </c>
      <c r="B27" s="54" t="s">
        <v>90</v>
      </c>
      <c r="C27" s="54" t="s">
        <v>60</v>
      </c>
      <c r="D27" s="54" t="s">
        <v>91</v>
      </c>
      <c r="E27" s="54" t="s">
        <v>18</v>
      </c>
      <c r="F27" s="66"/>
      <c r="G27" s="125"/>
      <c r="H27" s="56" t="s">
        <v>80</v>
      </c>
      <c r="I27" s="56" t="s">
        <v>22</v>
      </c>
      <c r="J27" s="56" t="s">
        <v>22</v>
      </c>
      <c r="K27" s="56"/>
      <c r="L27" s="57" t="s">
        <v>22</v>
      </c>
      <c r="M27" s="53" t="s">
        <v>203</v>
      </c>
      <c r="N27" s="134" t="s">
        <v>416</v>
      </c>
    </row>
    <row r="28" spans="1:14" x14ac:dyDescent="0.25">
      <c r="A28" s="54" t="s">
        <v>268</v>
      </c>
      <c r="B28" s="54" t="s">
        <v>269</v>
      </c>
      <c r="C28" s="54" t="s">
        <v>60</v>
      </c>
      <c r="D28" s="54" t="s">
        <v>74</v>
      </c>
      <c r="E28" s="54" t="s">
        <v>171</v>
      </c>
      <c r="F28" s="67">
        <v>45906</v>
      </c>
      <c r="G28" s="57"/>
      <c r="H28" s="56" t="s">
        <v>80</v>
      </c>
      <c r="I28" s="56" t="s">
        <v>22</v>
      </c>
      <c r="J28" s="56" t="s">
        <v>22</v>
      </c>
      <c r="K28" s="57" t="s">
        <v>405</v>
      </c>
      <c r="L28" s="56" t="s">
        <v>22</v>
      </c>
      <c r="M28" s="53" t="s">
        <v>163</v>
      </c>
      <c r="N28" t="s">
        <v>406</v>
      </c>
    </row>
    <row r="29" spans="1:14" hidden="1" x14ac:dyDescent="0.25">
      <c r="A29" s="54" t="s">
        <v>292</v>
      </c>
      <c r="B29" s="54" t="s">
        <v>293</v>
      </c>
      <c r="C29" s="54" t="s">
        <v>60</v>
      </c>
      <c r="D29" s="54" t="s">
        <v>257</v>
      </c>
      <c r="E29" s="54" t="s">
        <v>210</v>
      </c>
      <c r="F29" s="66"/>
      <c r="G29" s="57"/>
      <c r="H29" s="56" t="s">
        <v>80</v>
      </c>
      <c r="I29" s="56" t="s">
        <v>22</v>
      </c>
      <c r="J29" s="56" t="s">
        <v>22</v>
      </c>
      <c r="K29" s="56"/>
      <c r="L29" s="56" t="s">
        <v>22</v>
      </c>
      <c r="M29" s="53" t="s">
        <v>203</v>
      </c>
    </row>
    <row r="30" spans="1:14" ht="30" hidden="1" customHeight="1" x14ac:dyDescent="0.25">
      <c r="A30" s="54" t="s">
        <v>85</v>
      </c>
      <c r="B30" s="54" t="s">
        <v>86</v>
      </c>
      <c r="C30" s="54" t="s">
        <v>60</v>
      </c>
      <c r="D30" s="54" t="s">
        <v>74</v>
      </c>
      <c r="E30" s="54" t="s">
        <v>29</v>
      </c>
      <c r="F30" s="67">
        <v>45997</v>
      </c>
      <c r="G30" s="57"/>
      <c r="H30" s="56" t="s">
        <v>80</v>
      </c>
      <c r="I30" s="56" t="s">
        <v>22</v>
      </c>
      <c r="J30" s="56" t="s">
        <v>22</v>
      </c>
      <c r="K30" s="57" t="s">
        <v>407</v>
      </c>
      <c r="L30" s="56" t="s">
        <v>22</v>
      </c>
      <c r="M30" s="53" t="s">
        <v>163</v>
      </c>
    </row>
    <row r="31" spans="1:14" hidden="1" x14ac:dyDescent="0.25">
      <c r="A31" s="84" t="s">
        <v>108</v>
      </c>
      <c r="B31" s="84" t="s">
        <v>109</v>
      </c>
      <c r="C31" s="84" t="s">
        <v>60</v>
      </c>
      <c r="D31" s="84" t="s">
        <v>91</v>
      </c>
      <c r="E31" s="84" t="s">
        <v>29</v>
      </c>
      <c r="F31" s="87"/>
      <c r="G31" s="89"/>
      <c r="H31" s="88" t="s">
        <v>186</v>
      </c>
      <c r="I31" s="88"/>
      <c r="J31" s="88"/>
      <c r="K31" s="88" t="s">
        <v>410</v>
      </c>
      <c r="L31" s="88"/>
      <c r="M31" s="53" t="s">
        <v>203</v>
      </c>
    </row>
    <row r="32" spans="1:14" hidden="1" x14ac:dyDescent="0.25">
      <c r="A32" s="84" t="s">
        <v>68</v>
      </c>
      <c r="B32" s="84" t="s">
        <v>69</v>
      </c>
      <c r="C32" s="84" t="s">
        <v>60</v>
      </c>
      <c r="D32" s="84" t="s">
        <v>61</v>
      </c>
      <c r="E32" s="84" t="s">
        <v>29</v>
      </c>
      <c r="F32" s="87"/>
      <c r="G32" s="103"/>
      <c r="H32" s="88" t="s">
        <v>186</v>
      </c>
      <c r="I32" s="88"/>
      <c r="J32" s="88"/>
      <c r="K32" s="88" t="s">
        <v>410</v>
      </c>
      <c r="L32" s="88"/>
      <c r="M32" s="53" t="s">
        <v>203</v>
      </c>
    </row>
    <row r="33" spans="1:14" ht="30" hidden="1" customHeight="1" x14ac:dyDescent="0.25">
      <c r="A33" s="54" t="s">
        <v>273</v>
      </c>
      <c r="B33" s="54" t="s">
        <v>274</v>
      </c>
      <c r="C33" s="54" t="s">
        <v>112</v>
      </c>
      <c r="D33" s="54" t="s">
        <v>113</v>
      </c>
      <c r="E33" s="54" t="s">
        <v>18</v>
      </c>
      <c r="F33" s="67">
        <v>45997</v>
      </c>
      <c r="G33" s="57"/>
      <c r="H33" s="66" t="s">
        <v>80</v>
      </c>
      <c r="I33" s="66" t="s">
        <v>22</v>
      </c>
      <c r="J33" s="66" t="s">
        <v>22</v>
      </c>
      <c r="K33" s="66"/>
      <c r="L33" s="57" t="s">
        <v>22</v>
      </c>
      <c r="M33" s="53" t="s">
        <v>163</v>
      </c>
      <c r="N33" s="43" t="s">
        <v>416</v>
      </c>
    </row>
    <row r="34" spans="1:14" ht="30" hidden="1" customHeight="1" x14ac:dyDescent="0.25">
      <c r="A34" s="54" t="s">
        <v>87</v>
      </c>
      <c r="B34" s="54" t="s">
        <v>88</v>
      </c>
      <c r="C34" s="54" t="s">
        <v>60</v>
      </c>
      <c r="D34" s="54" t="s">
        <v>74</v>
      </c>
      <c r="E34" s="54" t="s">
        <v>29</v>
      </c>
      <c r="F34" s="67">
        <v>45997</v>
      </c>
      <c r="G34" s="57"/>
      <c r="H34" s="56" t="s">
        <v>80</v>
      </c>
      <c r="I34" s="56" t="s">
        <v>22</v>
      </c>
      <c r="J34" s="56" t="s">
        <v>22</v>
      </c>
      <c r="K34" s="57" t="s">
        <v>407</v>
      </c>
      <c r="L34" s="56" t="s">
        <v>22</v>
      </c>
      <c r="M34" s="53" t="s">
        <v>163</v>
      </c>
    </row>
    <row r="35" spans="1:14" hidden="1" x14ac:dyDescent="0.25">
      <c r="A35" s="84" t="s">
        <v>104</v>
      </c>
      <c r="B35" s="84" t="s">
        <v>105</v>
      </c>
      <c r="C35" s="84" t="s">
        <v>60</v>
      </c>
      <c r="D35" s="84" t="s">
        <v>91</v>
      </c>
      <c r="E35" s="84" t="s">
        <v>29</v>
      </c>
      <c r="F35" s="87"/>
      <c r="G35" s="89"/>
      <c r="H35" s="88" t="s">
        <v>186</v>
      </c>
      <c r="I35" s="88"/>
      <c r="J35" s="88"/>
      <c r="K35" s="88" t="s">
        <v>410</v>
      </c>
      <c r="L35" s="88"/>
      <c r="M35" s="53" t="s">
        <v>203</v>
      </c>
    </row>
    <row r="36" spans="1:14" hidden="1" x14ac:dyDescent="0.25">
      <c r="A36" s="54" t="s">
        <v>117</v>
      </c>
      <c r="B36" s="54" t="s">
        <v>118</v>
      </c>
      <c r="C36" s="54" t="s">
        <v>112</v>
      </c>
      <c r="D36" s="54" t="s">
        <v>113</v>
      </c>
      <c r="E36" s="54" t="s">
        <v>29</v>
      </c>
      <c r="F36" s="67">
        <v>45936</v>
      </c>
      <c r="G36" s="57"/>
      <c r="H36" s="66" t="s">
        <v>80</v>
      </c>
      <c r="I36" s="66" t="s">
        <v>22</v>
      </c>
      <c r="J36" s="66" t="s">
        <v>22</v>
      </c>
      <c r="K36" s="56" t="s">
        <v>417</v>
      </c>
      <c r="L36" s="56" t="s">
        <v>22</v>
      </c>
      <c r="M36" s="53" t="s">
        <v>163</v>
      </c>
      <c r="N36" t="s">
        <v>418</v>
      </c>
    </row>
    <row r="37" spans="1:14" hidden="1" x14ac:dyDescent="0.25">
      <c r="A37" s="54" t="s">
        <v>276</v>
      </c>
      <c r="B37" s="54" t="s">
        <v>277</v>
      </c>
      <c r="C37" s="54" t="s">
        <v>60</v>
      </c>
      <c r="D37" s="54" t="s">
        <v>128</v>
      </c>
      <c r="E37" s="54" t="s">
        <v>200</v>
      </c>
      <c r="F37" s="67">
        <v>45906</v>
      </c>
      <c r="G37" s="56"/>
      <c r="H37" s="56" t="s">
        <v>80</v>
      </c>
      <c r="I37" s="56" t="s">
        <v>22</v>
      </c>
      <c r="J37" s="56" t="s">
        <v>22</v>
      </c>
      <c r="K37" s="56" t="s">
        <v>419</v>
      </c>
      <c r="L37" s="56" t="s">
        <v>22</v>
      </c>
      <c r="M37" s="53" t="s">
        <v>163</v>
      </c>
    </row>
    <row r="38" spans="1:14" ht="30" hidden="1" customHeight="1" x14ac:dyDescent="0.25">
      <c r="A38" s="54" t="s">
        <v>70</v>
      </c>
      <c r="B38" s="54" t="s">
        <v>71</v>
      </c>
      <c r="C38" s="54" t="s">
        <v>60</v>
      </c>
      <c r="D38" s="54" t="s">
        <v>61</v>
      </c>
      <c r="E38" s="54" t="s">
        <v>29</v>
      </c>
      <c r="F38" s="66"/>
      <c r="G38" s="56"/>
      <c r="H38" s="56" t="s">
        <v>80</v>
      </c>
      <c r="I38" s="56" t="s">
        <v>22</v>
      </c>
      <c r="J38" s="56" t="s">
        <v>22</v>
      </c>
      <c r="K38" s="57" t="s">
        <v>407</v>
      </c>
      <c r="L38" s="56" t="s">
        <v>22</v>
      </c>
      <c r="M38" s="53" t="s">
        <v>203</v>
      </c>
      <c r="N38" t="s">
        <v>411</v>
      </c>
    </row>
    <row r="39" spans="1:14" ht="19.5" hidden="1" customHeight="1" x14ac:dyDescent="0.25">
      <c r="A39" s="84" t="s">
        <v>106</v>
      </c>
      <c r="B39" s="84" t="s">
        <v>107</v>
      </c>
      <c r="C39" s="84" t="s">
        <v>60</v>
      </c>
      <c r="D39" s="84" t="s">
        <v>91</v>
      </c>
      <c r="E39" s="84" t="s">
        <v>29</v>
      </c>
      <c r="F39" s="87"/>
      <c r="G39" s="102" t="s">
        <v>409</v>
      </c>
      <c r="H39" s="88" t="s">
        <v>186</v>
      </c>
      <c r="I39" s="88"/>
      <c r="J39" s="88"/>
      <c r="K39" s="89" t="s">
        <v>410</v>
      </c>
      <c r="L39" s="88"/>
      <c r="M39" s="53"/>
    </row>
    <row r="40" spans="1:14" hidden="1" x14ac:dyDescent="0.25">
      <c r="A40" s="84" t="s">
        <v>63</v>
      </c>
      <c r="B40" s="84" t="s">
        <v>64</v>
      </c>
      <c r="C40" s="84" t="s">
        <v>60</v>
      </c>
      <c r="D40" s="84" t="s">
        <v>61</v>
      </c>
      <c r="E40" s="84" t="s">
        <v>29</v>
      </c>
      <c r="F40" s="87"/>
      <c r="G40" s="103"/>
      <c r="H40" s="88" t="s">
        <v>186</v>
      </c>
      <c r="I40" s="88"/>
      <c r="J40" s="88"/>
      <c r="K40" s="88" t="s">
        <v>410</v>
      </c>
      <c r="L40" s="88"/>
      <c r="M40" s="53" t="s">
        <v>203</v>
      </c>
    </row>
    <row r="41" spans="1:14" ht="30" hidden="1" customHeight="1" x14ac:dyDescent="0.25">
      <c r="A41" s="132" t="s">
        <v>286</v>
      </c>
      <c r="B41" s="132" t="s">
        <v>287</v>
      </c>
      <c r="C41" s="132" t="s">
        <v>60</v>
      </c>
      <c r="D41" s="132" t="s">
        <v>61</v>
      </c>
      <c r="E41" s="133" t="s">
        <v>420</v>
      </c>
      <c r="F41" s="66"/>
      <c r="G41" s="57"/>
      <c r="H41" s="56" t="s">
        <v>80</v>
      </c>
      <c r="I41" s="56" t="s">
        <v>22</v>
      </c>
      <c r="J41" s="56" t="s">
        <v>22</v>
      </c>
      <c r="K41" s="56"/>
      <c r="L41" s="56" t="s">
        <v>22</v>
      </c>
      <c r="M41" s="53" t="s">
        <v>203</v>
      </c>
    </row>
    <row r="42" spans="1:14" ht="30" hidden="1" customHeight="1" x14ac:dyDescent="0.25">
      <c r="A42" s="54" t="s">
        <v>66</v>
      </c>
      <c r="B42" s="54" t="s">
        <v>67</v>
      </c>
      <c r="C42" s="54" t="s">
        <v>60</v>
      </c>
      <c r="D42" s="54" t="s">
        <v>61</v>
      </c>
      <c r="E42" s="54" t="s">
        <v>29</v>
      </c>
      <c r="F42" s="67"/>
      <c r="G42" s="57"/>
      <c r="H42" s="56" t="s">
        <v>80</v>
      </c>
      <c r="I42" s="56" t="s">
        <v>22</v>
      </c>
      <c r="J42" s="56" t="s">
        <v>22</v>
      </c>
      <c r="K42" s="57" t="s">
        <v>407</v>
      </c>
      <c r="L42" s="56" t="s">
        <v>22</v>
      </c>
      <c r="M42" s="53" t="s">
        <v>203</v>
      </c>
      <c r="N42" t="s">
        <v>411</v>
      </c>
    </row>
    <row r="43" spans="1:14" hidden="1" x14ac:dyDescent="0.25">
      <c r="A43" s="54" t="s">
        <v>242</v>
      </c>
      <c r="B43" s="54" t="s">
        <v>243</v>
      </c>
      <c r="C43" s="54" t="s">
        <v>15</v>
      </c>
      <c r="D43" s="54" t="s">
        <v>51</v>
      </c>
      <c r="E43" s="54" t="s">
        <v>138</v>
      </c>
      <c r="F43" s="67" t="s">
        <v>421</v>
      </c>
      <c r="G43" s="57"/>
      <c r="H43" s="56" t="s">
        <v>80</v>
      </c>
      <c r="I43" s="56" t="s">
        <v>22</v>
      </c>
      <c r="J43" s="56" t="s">
        <v>22</v>
      </c>
      <c r="K43" s="56"/>
      <c r="L43" s="45" t="s">
        <v>22</v>
      </c>
      <c r="M43" s="53" t="s">
        <v>203</v>
      </c>
      <c r="N43" s="136" t="s">
        <v>422</v>
      </c>
    </row>
    <row r="44" spans="1:14" hidden="1" x14ac:dyDescent="0.25">
      <c r="A44" s="54" t="s">
        <v>294</v>
      </c>
      <c r="B44" s="54" t="s">
        <v>295</v>
      </c>
      <c r="C44" s="54" t="s">
        <v>60</v>
      </c>
      <c r="D44" s="54" t="s">
        <v>74</v>
      </c>
      <c r="E44" s="54" t="s">
        <v>213</v>
      </c>
      <c r="F44" s="67">
        <v>45936</v>
      </c>
      <c r="G44" s="57"/>
      <c r="H44" s="56" t="s">
        <v>80</v>
      </c>
      <c r="I44" s="56" t="s">
        <v>22</v>
      </c>
      <c r="J44" s="56" t="s">
        <v>22</v>
      </c>
      <c r="K44" s="56"/>
      <c r="L44" s="56" t="s">
        <v>22</v>
      </c>
      <c r="M44" s="53" t="s">
        <v>163</v>
      </c>
    </row>
    <row r="45" spans="1:14" hidden="1" x14ac:dyDescent="0.25">
      <c r="A45" s="54" t="s">
        <v>315</v>
      </c>
      <c r="B45" s="54" t="s">
        <v>316</v>
      </c>
      <c r="C45" s="54" t="s">
        <v>112</v>
      </c>
      <c r="D45" s="54" t="s">
        <v>113</v>
      </c>
      <c r="E45" s="54" t="s">
        <v>138</v>
      </c>
      <c r="F45" s="67" t="s">
        <v>421</v>
      </c>
      <c r="G45" s="56"/>
      <c r="H45" s="56" t="s">
        <v>80</v>
      </c>
      <c r="I45" s="56" t="s">
        <v>22</v>
      </c>
      <c r="J45" s="56" t="s">
        <v>22</v>
      </c>
      <c r="K45" s="56"/>
      <c r="L45" s="45" t="s">
        <v>22</v>
      </c>
      <c r="M45" s="53" t="s">
        <v>203</v>
      </c>
      <c r="N45" s="136" t="s">
        <v>422</v>
      </c>
    </row>
    <row r="46" spans="1:14" hidden="1" x14ac:dyDescent="0.25">
      <c r="A46" s="54" t="s">
        <v>78</v>
      </c>
      <c r="B46" s="54" t="s">
        <v>79</v>
      </c>
      <c r="C46" s="54" t="s">
        <v>60</v>
      </c>
      <c r="D46" s="54" t="s">
        <v>74</v>
      </c>
      <c r="E46" s="54" t="s">
        <v>53</v>
      </c>
      <c r="F46" s="67" t="s">
        <v>413</v>
      </c>
      <c r="G46" s="57"/>
      <c r="H46" s="56" t="s">
        <v>80</v>
      </c>
      <c r="I46" s="56" t="s">
        <v>22</v>
      </c>
      <c r="J46" s="56" t="s">
        <v>22</v>
      </c>
      <c r="K46" s="56" t="s">
        <v>414</v>
      </c>
      <c r="L46" s="56" t="s">
        <v>22</v>
      </c>
      <c r="M46" s="53" t="s">
        <v>163</v>
      </c>
    </row>
    <row r="47" spans="1:14" hidden="1" x14ac:dyDescent="0.25">
      <c r="A47" s="54" t="s">
        <v>72</v>
      </c>
      <c r="B47" s="54" t="s">
        <v>73</v>
      </c>
      <c r="C47" s="54" t="s">
        <v>60</v>
      </c>
      <c r="D47" s="54" t="s">
        <v>74</v>
      </c>
      <c r="E47" s="54" t="s">
        <v>53</v>
      </c>
      <c r="F47" s="67" t="s">
        <v>413</v>
      </c>
      <c r="G47" s="57"/>
      <c r="H47" s="56" t="s">
        <v>80</v>
      </c>
      <c r="I47" s="56" t="s">
        <v>22</v>
      </c>
      <c r="J47" s="56" t="s">
        <v>22</v>
      </c>
      <c r="K47" s="56" t="s">
        <v>414</v>
      </c>
      <c r="L47" s="56" t="s">
        <v>22</v>
      </c>
      <c r="M47" s="53" t="s">
        <v>163</v>
      </c>
    </row>
    <row r="48" spans="1:14" hidden="1" x14ac:dyDescent="0.25">
      <c r="A48" s="54" t="s">
        <v>302</v>
      </c>
      <c r="B48" s="54" t="s">
        <v>303</v>
      </c>
      <c r="C48" s="54" t="s">
        <v>60</v>
      </c>
      <c r="D48" s="54" t="s">
        <v>128</v>
      </c>
      <c r="E48" s="54" t="s">
        <v>213</v>
      </c>
      <c r="F48" s="67">
        <v>45906</v>
      </c>
      <c r="G48" s="57"/>
      <c r="H48" s="56" t="s">
        <v>80</v>
      </c>
      <c r="I48" s="56" t="s">
        <v>22</v>
      </c>
      <c r="J48" s="56" t="s">
        <v>22</v>
      </c>
      <c r="K48" s="56"/>
      <c r="L48" s="56" t="s">
        <v>22</v>
      </c>
      <c r="M48" s="53" t="s">
        <v>163</v>
      </c>
    </row>
    <row r="49" spans="1:14" hidden="1" x14ac:dyDescent="0.25">
      <c r="A49" s="54" t="s">
        <v>110</v>
      </c>
      <c r="B49" s="54" t="s">
        <v>111</v>
      </c>
      <c r="C49" s="54" t="s">
        <v>112</v>
      </c>
      <c r="D49" s="54" t="s">
        <v>113</v>
      </c>
      <c r="E49" s="54" t="s">
        <v>115</v>
      </c>
      <c r="F49" s="67">
        <v>45906</v>
      </c>
      <c r="G49" s="57"/>
      <c r="H49" s="56" t="s">
        <v>80</v>
      </c>
      <c r="I49" s="56" t="s">
        <v>22</v>
      </c>
      <c r="J49" s="56" t="s">
        <v>22</v>
      </c>
      <c r="K49" s="56" t="s">
        <v>417</v>
      </c>
      <c r="L49" s="56" t="s">
        <v>22</v>
      </c>
      <c r="M49" s="53" t="s">
        <v>163</v>
      </c>
      <c r="N49" t="s">
        <v>418</v>
      </c>
    </row>
    <row r="50" spans="1:14" hidden="1" x14ac:dyDescent="0.25">
      <c r="A50" s="54" t="s">
        <v>76</v>
      </c>
      <c r="B50" s="54" t="s">
        <v>77</v>
      </c>
      <c r="C50" s="54" t="s">
        <v>60</v>
      </c>
      <c r="D50" s="54" t="s">
        <v>74</v>
      </c>
      <c r="E50" s="54" t="s">
        <v>53</v>
      </c>
      <c r="F50" s="67" t="s">
        <v>413</v>
      </c>
      <c r="G50" s="57"/>
      <c r="H50" s="56" t="s">
        <v>80</v>
      </c>
      <c r="I50" s="56" t="s">
        <v>22</v>
      </c>
      <c r="J50" s="56" t="s">
        <v>22</v>
      </c>
      <c r="K50" s="56" t="s">
        <v>414</v>
      </c>
      <c r="L50" s="56" t="s">
        <v>22</v>
      </c>
      <c r="M50" s="53" t="s">
        <v>163</v>
      </c>
    </row>
    <row r="51" spans="1:14" ht="30" customHeight="1" x14ac:dyDescent="0.25">
      <c r="A51" s="58" t="s">
        <v>133</v>
      </c>
      <c r="B51" s="58" t="s">
        <v>134</v>
      </c>
      <c r="C51" s="58" t="s">
        <v>60</v>
      </c>
      <c r="D51" s="58" t="s">
        <v>128</v>
      </c>
      <c r="E51" s="58" t="s">
        <v>124</v>
      </c>
      <c r="F51" s="68"/>
      <c r="G51" s="61"/>
      <c r="H51" s="60" t="s">
        <v>80</v>
      </c>
      <c r="I51" s="60"/>
      <c r="J51" s="60" t="s">
        <v>22</v>
      </c>
      <c r="K51" s="61" t="s">
        <v>22</v>
      </c>
      <c r="L51" s="60" t="s">
        <v>22</v>
      </c>
      <c r="M51" s="53"/>
      <c r="N51" s="43" t="s">
        <v>415</v>
      </c>
    </row>
    <row r="52" spans="1:14" ht="30" customHeight="1" x14ac:dyDescent="0.25">
      <c r="A52" s="58" t="s">
        <v>306</v>
      </c>
      <c r="B52" s="58" t="s">
        <v>307</v>
      </c>
      <c r="C52" s="58" t="s">
        <v>112</v>
      </c>
      <c r="D52" s="58" t="s">
        <v>113</v>
      </c>
      <c r="E52" s="58" t="s">
        <v>124</v>
      </c>
      <c r="F52" s="68"/>
      <c r="G52" s="61"/>
      <c r="H52" s="60" t="s">
        <v>80</v>
      </c>
      <c r="I52" s="60"/>
      <c r="J52" s="60" t="s">
        <v>22</v>
      </c>
      <c r="K52" s="61" t="s">
        <v>22</v>
      </c>
      <c r="L52" s="60" t="s">
        <v>22</v>
      </c>
      <c r="M52" s="53"/>
      <c r="N52" s="43" t="s">
        <v>415</v>
      </c>
    </row>
    <row r="53" spans="1:14" ht="30" customHeight="1" x14ac:dyDescent="0.25">
      <c r="A53" s="58" t="s">
        <v>131</v>
      </c>
      <c r="B53" s="58" t="s">
        <v>132</v>
      </c>
      <c r="C53" s="58" t="s">
        <v>60</v>
      </c>
      <c r="D53" s="58" t="s">
        <v>128</v>
      </c>
      <c r="E53" s="58" t="s">
        <v>124</v>
      </c>
      <c r="F53" s="68"/>
      <c r="G53" s="61"/>
      <c r="H53" s="60" t="s">
        <v>80</v>
      </c>
      <c r="I53" s="60"/>
      <c r="J53" s="60" t="s">
        <v>22</v>
      </c>
      <c r="K53" s="61" t="s">
        <v>22</v>
      </c>
      <c r="L53" s="60" t="s">
        <v>22</v>
      </c>
      <c r="M53" s="53"/>
      <c r="N53" s="43" t="s">
        <v>415</v>
      </c>
    </row>
    <row r="54" spans="1:14" ht="30" customHeight="1" x14ac:dyDescent="0.25">
      <c r="A54" s="58" t="s">
        <v>126</v>
      </c>
      <c r="B54" s="58" t="s">
        <v>127</v>
      </c>
      <c r="C54" s="58" t="s">
        <v>60</v>
      </c>
      <c r="D54" s="58" t="s">
        <v>128</v>
      </c>
      <c r="E54" s="58" t="s">
        <v>124</v>
      </c>
      <c r="F54" s="68"/>
      <c r="G54" s="61"/>
      <c r="H54" s="60" t="s">
        <v>80</v>
      </c>
      <c r="I54" s="60"/>
      <c r="J54" s="60" t="s">
        <v>22</v>
      </c>
      <c r="K54" s="61" t="s">
        <v>22</v>
      </c>
      <c r="L54" s="60" t="s">
        <v>22</v>
      </c>
      <c r="M54" s="53"/>
      <c r="N54" s="43" t="s">
        <v>415</v>
      </c>
    </row>
    <row r="55" spans="1:14" hidden="1" x14ac:dyDescent="0.25">
      <c r="A55" s="54" t="s">
        <v>311</v>
      </c>
      <c r="B55" s="54" t="s">
        <v>312</v>
      </c>
      <c r="C55" s="54" t="s">
        <v>112</v>
      </c>
      <c r="D55" s="54" t="s">
        <v>113</v>
      </c>
      <c r="E55" s="54" t="s">
        <v>53</v>
      </c>
      <c r="F55" s="67" t="s">
        <v>413</v>
      </c>
      <c r="G55" s="57"/>
      <c r="H55" s="56" t="s">
        <v>80</v>
      </c>
      <c r="I55" s="56" t="s">
        <v>22</v>
      </c>
      <c r="J55" s="56" t="s">
        <v>22</v>
      </c>
      <c r="K55" s="56" t="s">
        <v>414</v>
      </c>
      <c r="L55" s="56" t="s">
        <v>22</v>
      </c>
      <c r="M55" s="53" t="s">
        <v>203</v>
      </c>
    </row>
    <row r="56" spans="1:14" hidden="1" x14ac:dyDescent="0.25">
      <c r="A56" s="54" t="s">
        <v>198</v>
      </c>
      <c r="B56" s="54" t="s">
        <v>199</v>
      </c>
      <c r="C56" s="54" t="s">
        <v>15</v>
      </c>
      <c r="D56" s="54" t="s">
        <v>51</v>
      </c>
      <c r="E56" s="54" t="s">
        <v>200</v>
      </c>
      <c r="F56" s="67"/>
      <c r="G56" s="56"/>
      <c r="H56" s="56" t="s">
        <v>80</v>
      </c>
      <c r="I56" s="56" t="s">
        <v>22</v>
      </c>
      <c r="J56" s="56" t="s">
        <v>22</v>
      </c>
      <c r="K56" s="56" t="s">
        <v>419</v>
      </c>
      <c r="L56" s="56" t="s">
        <v>22</v>
      </c>
      <c r="M56" s="53" t="s">
        <v>203</v>
      </c>
    </row>
    <row r="57" spans="1:14" hidden="1" x14ac:dyDescent="0.25">
      <c r="A57" s="54" t="s">
        <v>136</v>
      </c>
      <c r="B57" s="54" t="s">
        <v>137</v>
      </c>
      <c r="C57" s="54" t="s">
        <v>60</v>
      </c>
      <c r="D57" s="54" t="s">
        <v>74</v>
      </c>
      <c r="E57" s="54" t="s">
        <v>138</v>
      </c>
      <c r="F57" s="67" t="s">
        <v>421</v>
      </c>
      <c r="G57" s="57"/>
      <c r="H57" s="56" t="s">
        <v>80</v>
      </c>
      <c r="I57" s="56" t="s">
        <v>22</v>
      </c>
      <c r="J57" s="45" t="s">
        <v>22</v>
      </c>
      <c r="K57" s="45"/>
      <c r="L57" s="45" t="s">
        <v>22</v>
      </c>
      <c r="M57" s="53" t="s">
        <v>163</v>
      </c>
    </row>
    <row r="58" spans="1:14" ht="30" customHeight="1" x14ac:dyDescent="0.25">
      <c r="A58" s="58" t="s">
        <v>122</v>
      </c>
      <c r="B58" s="58" t="s">
        <v>123</v>
      </c>
      <c r="C58" s="58" t="s">
        <v>60</v>
      </c>
      <c r="D58" s="58" t="s">
        <v>74</v>
      </c>
      <c r="E58" s="58" t="s">
        <v>124</v>
      </c>
      <c r="F58" s="68"/>
      <c r="G58" s="61"/>
      <c r="H58" s="60" t="s">
        <v>80</v>
      </c>
      <c r="I58" s="60"/>
      <c r="J58" s="60" t="s">
        <v>22</v>
      </c>
      <c r="K58" s="61" t="s">
        <v>22</v>
      </c>
      <c r="L58" s="60" t="s">
        <v>22</v>
      </c>
      <c r="M58" s="53"/>
      <c r="N58" s="43" t="s">
        <v>415</v>
      </c>
    </row>
    <row r="59" spans="1:14" hidden="1" x14ac:dyDescent="0.25">
      <c r="A59" s="78" t="s">
        <v>347</v>
      </c>
      <c r="B59" s="45" t="s">
        <v>348</v>
      </c>
      <c r="C59" s="45" t="s">
        <v>15</v>
      </c>
      <c r="D59" s="79" t="s">
        <v>36</v>
      </c>
      <c r="E59" s="45" t="s">
        <v>349</v>
      </c>
      <c r="F59" s="67">
        <v>45906</v>
      </c>
      <c r="G59" s="45"/>
      <c r="H59" s="45" t="s">
        <v>80</v>
      </c>
      <c r="I59" s="45" t="s">
        <v>22</v>
      </c>
      <c r="J59" s="45" t="s">
        <v>22</v>
      </c>
      <c r="K59" s="45" t="s">
        <v>423</v>
      </c>
      <c r="L59" s="45"/>
      <c r="M59" s="44" t="s">
        <v>163</v>
      </c>
      <c r="N59" t="s">
        <v>424</v>
      </c>
    </row>
    <row r="60" spans="1:14" hidden="1" x14ac:dyDescent="0.25">
      <c r="A60" s="78" t="s">
        <v>351</v>
      </c>
      <c r="B60" s="45" t="s">
        <v>352</v>
      </c>
      <c r="C60" s="45" t="s">
        <v>15</v>
      </c>
      <c r="D60" s="79" t="s">
        <v>51</v>
      </c>
      <c r="E60" s="45" t="s">
        <v>349</v>
      </c>
      <c r="F60" s="67">
        <v>45906</v>
      </c>
      <c r="G60" s="45"/>
      <c r="H60" s="45" t="s">
        <v>80</v>
      </c>
      <c r="I60" s="45" t="s">
        <v>22</v>
      </c>
      <c r="J60" s="45" t="s">
        <v>22</v>
      </c>
      <c r="K60" s="45" t="s">
        <v>423</v>
      </c>
      <c r="L60" s="45"/>
      <c r="M60" s="44" t="s">
        <v>163</v>
      </c>
      <c r="N60" t="s">
        <v>424</v>
      </c>
    </row>
    <row r="61" spans="1:14" hidden="1" x14ac:dyDescent="0.25">
      <c r="A61" s="78" t="s">
        <v>353</v>
      </c>
      <c r="B61" s="45" t="s">
        <v>354</v>
      </c>
      <c r="C61" s="45" t="s">
        <v>60</v>
      </c>
      <c r="D61" s="79" t="s">
        <v>128</v>
      </c>
      <c r="E61" s="45" t="s">
        <v>349</v>
      </c>
      <c r="F61" s="45"/>
      <c r="G61" s="56"/>
      <c r="H61" s="45" t="s">
        <v>80</v>
      </c>
      <c r="I61" s="45" t="s">
        <v>22</v>
      </c>
      <c r="J61" s="45" t="s">
        <v>22</v>
      </c>
      <c r="K61" s="45" t="s">
        <v>423</v>
      </c>
      <c r="L61" s="45"/>
      <c r="M61" s="44" t="s">
        <v>203</v>
      </c>
      <c r="N61" t="s">
        <v>424</v>
      </c>
    </row>
    <row r="62" spans="1:14" hidden="1" x14ac:dyDescent="0.25">
      <c r="A62" s="78" t="s">
        <v>356</v>
      </c>
      <c r="B62" s="45" t="s">
        <v>357</v>
      </c>
      <c r="C62" s="45" t="s">
        <v>15</v>
      </c>
      <c r="D62" s="79" t="s">
        <v>51</v>
      </c>
      <c r="E62" s="45" t="s">
        <v>102</v>
      </c>
      <c r="F62" s="67">
        <v>45906</v>
      </c>
      <c r="G62" s="45"/>
      <c r="H62" s="45" t="s">
        <v>80</v>
      </c>
      <c r="I62" s="45" t="s">
        <v>22</v>
      </c>
      <c r="J62" s="45" t="s">
        <v>22</v>
      </c>
      <c r="K62" s="45"/>
      <c r="L62" s="56" t="s">
        <v>22</v>
      </c>
      <c r="M62" s="44" t="s">
        <v>163</v>
      </c>
    </row>
    <row r="63" spans="1:14" hidden="1" x14ac:dyDescent="0.25">
      <c r="A63" s="55" t="s">
        <v>100</v>
      </c>
      <c r="B63" s="56" t="s">
        <v>101</v>
      </c>
      <c r="C63" s="56" t="s">
        <v>60</v>
      </c>
      <c r="D63" s="66" t="s">
        <v>358</v>
      </c>
      <c r="E63" s="56" t="s">
        <v>102</v>
      </c>
      <c r="F63" s="56"/>
      <c r="G63" s="57"/>
      <c r="H63" s="56" t="s">
        <v>80</v>
      </c>
      <c r="I63" s="56" t="s">
        <v>22</v>
      </c>
      <c r="J63" s="56" t="s">
        <v>22</v>
      </c>
      <c r="K63" s="56"/>
      <c r="L63" s="56" t="s">
        <v>22</v>
      </c>
      <c r="M63" s="44" t="s">
        <v>203</v>
      </c>
      <c r="N63" s="43" t="s">
        <v>425</v>
      </c>
    </row>
    <row r="64" spans="1:14" hidden="1" x14ac:dyDescent="0.25">
      <c r="A64" s="45" t="s">
        <v>43</v>
      </c>
      <c r="B64" s="45" t="s">
        <v>44</v>
      </c>
      <c r="C64" s="45" t="s">
        <v>15</v>
      </c>
      <c r="D64" s="79" t="s">
        <v>45</v>
      </c>
      <c r="E64" s="45" t="s">
        <v>47</v>
      </c>
      <c r="F64" s="67">
        <v>45906</v>
      </c>
      <c r="G64" s="45"/>
      <c r="H64" s="45" t="s">
        <v>80</v>
      </c>
      <c r="I64" s="45" t="s">
        <v>22</v>
      </c>
      <c r="J64" s="45" t="s">
        <v>22</v>
      </c>
      <c r="K64" s="45"/>
      <c r="L64" s="45" t="s">
        <v>22</v>
      </c>
      <c r="M64" s="44" t="s">
        <v>163</v>
      </c>
      <c r="N64" t="s">
        <v>424</v>
      </c>
    </row>
    <row r="65" spans="1:14" hidden="1" x14ac:dyDescent="0.25">
      <c r="A65" s="45" t="s">
        <v>82</v>
      </c>
      <c r="B65" s="45" t="s">
        <v>83</v>
      </c>
      <c r="C65" s="45" t="s">
        <v>60</v>
      </c>
      <c r="D65" s="79" t="s">
        <v>74</v>
      </c>
      <c r="E65" s="45" t="s">
        <v>47</v>
      </c>
      <c r="F65" s="80"/>
      <c r="G65" s="45"/>
      <c r="H65" s="45" t="s">
        <v>80</v>
      </c>
      <c r="I65" s="45" t="s">
        <v>22</v>
      </c>
      <c r="J65" s="45" t="s">
        <v>22</v>
      </c>
      <c r="K65" s="45"/>
      <c r="L65" s="45" t="s">
        <v>22</v>
      </c>
      <c r="M65" s="44" t="s">
        <v>203</v>
      </c>
      <c r="N65" t="s">
        <v>424</v>
      </c>
    </row>
    <row r="66" spans="1:14" hidden="1" x14ac:dyDescent="0.25">
      <c r="A66" s="110" t="s">
        <v>369</v>
      </c>
      <c r="B66" s="110" t="s">
        <v>370</v>
      </c>
      <c r="C66" s="110" t="s">
        <v>15</v>
      </c>
      <c r="D66" s="110" t="s">
        <v>51</v>
      </c>
      <c r="E66" s="110" t="s">
        <v>371</v>
      </c>
      <c r="F66" s="67">
        <v>45997</v>
      </c>
      <c r="G66" s="45"/>
      <c r="H66" s="45" t="s">
        <v>80</v>
      </c>
      <c r="I66" s="45" t="s">
        <v>22</v>
      </c>
      <c r="J66" s="45" t="s">
        <v>22</v>
      </c>
      <c r="K66" s="135"/>
      <c r="L66" s="45" t="s">
        <v>22</v>
      </c>
      <c r="M66" s="106" t="s">
        <v>163</v>
      </c>
    </row>
    <row r="67" spans="1:14" hidden="1" x14ac:dyDescent="0.25">
      <c r="A67" s="110" t="s">
        <v>374</v>
      </c>
      <c r="B67" s="110" t="s">
        <v>375</v>
      </c>
      <c r="C67" s="110" t="s">
        <v>60</v>
      </c>
      <c r="D67" s="110" t="s">
        <v>74</v>
      </c>
      <c r="E67" s="110" t="s">
        <v>371</v>
      </c>
      <c r="F67" s="45" t="s">
        <v>426</v>
      </c>
      <c r="G67" s="45"/>
      <c r="H67" s="45" t="s">
        <v>80</v>
      </c>
      <c r="I67" s="45" t="s">
        <v>22</v>
      </c>
      <c r="J67" s="45" t="s">
        <v>22</v>
      </c>
      <c r="K67" s="135"/>
      <c r="L67" s="45" t="s">
        <v>22</v>
      </c>
      <c r="M67" s="106" t="s">
        <v>163</v>
      </c>
    </row>
    <row r="68" spans="1:14" hidden="1" x14ac:dyDescent="0.25">
      <c r="A68" s="110" t="s">
        <v>378</v>
      </c>
      <c r="B68" s="110" t="s">
        <v>379</v>
      </c>
      <c r="C68" s="110" t="s">
        <v>112</v>
      </c>
      <c r="D68" s="110" t="s">
        <v>113</v>
      </c>
      <c r="E68" s="110" t="s">
        <v>371</v>
      </c>
      <c r="F68" s="67">
        <v>45997</v>
      </c>
      <c r="G68" s="45"/>
      <c r="H68" s="45" t="s">
        <v>80</v>
      </c>
      <c r="I68" s="45" t="s">
        <v>22</v>
      </c>
      <c r="J68" s="45" t="s">
        <v>22</v>
      </c>
      <c r="K68" s="135"/>
      <c r="L68" s="45" t="s">
        <v>22</v>
      </c>
      <c r="M68" s="106" t="s">
        <v>163</v>
      </c>
    </row>
    <row r="69" spans="1:14" hidden="1" x14ac:dyDescent="0.25">
      <c r="A69" s="129" t="s">
        <v>381</v>
      </c>
      <c r="B69" s="130" t="s">
        <v>382</v>
      </c>
      <c r="C69" s="130" t="s">
        <v>60</v>
      </c>
      <c r="D69" s="130" t="s">
        <v>74</v>
      </c>
      <c r="E69" s="130" t="s">
        <v>371</v>
      </c>
      <c r="F69" s="45" t="s">
        <v>426</v>
      </c>
      <c r="G69" s="45"/>
      <c r="H69" s="131" t="s">
        <v>80</v>
      </c>
      <c r="I69" s="131" t="s">
        <v>22</v>
      </c>
      <c r="J69" s="131" t="s">
        <v>22</v>
      </c>
      <c r="K69" s="117"/>
      <c r="L69" s="45" t="s">
        <v>22</v>
      </c>
      <c r="M69" s="44" t="s">
        <v>203</v>
      </c>
    </row>
    <row r="70" spans="1:14" hidden="1" x14ac:dyDescent="0.25">
      <c r="A70" s="129" t="s">
        <v>384</v>
      </c>
      <c r="B70" s="110" t="s">
        <v>385</v>
      </c>
      <c r="C70" s="110" t="s">
        <v>60</v>
      </c>
      <c r="D70" s="110" t="s">
        <v>74</v>
      </c>
      <c r="E70" s="110" t="s">
        <v>371</v>
      </c>
      <c r="F70" s="45" t="s">
        <v>426</v>
      </c>
      <c r="G70" s="45"/>
      <c r="H70" s="45" t="s">
        <v>80</v>
      </c>
      <c r="I70" s="45" t="s">
        <v>22</v>
      </c>
      <c r="J70" s="45" t="s">
        <v>22</v>
      </c>
      <c r="K70" s="45"/>
      <c r="L70" s="45" t="s">
        <v>22</v>
      </c>
      <c r="M70" s="44" t="s">
        <v>203</v>
      </c>
    </row>
    <row r="71" spans="1:14" hidden="1" x14ac:dyDescent="0.25">
      <c r="A71" s="129" t="s">
        <v>386</v>
      </c>
      <c r="B71" s="110" t="s">
        <v>387</v>
      </c>
      <c r="C71" s="110" t="s">
        <v>60</v>
      </c>
      <c r="D71" s="110" t="s">
        <v>388</v>
      </c>
      <c r="E71" s="110" t="s">
        <v>371</v>
      </c>
      <c r="F71" s="45" t="s">
        <v>426</v>
      </c>
      <c r="G71" s="45"/>
      <c r="H71" s="45" t="s">
        <v>80</v>
      </c>
      <c r="I71" s="45" t="s">
        <v>22</v>
      </c>
      <c r="J71" s="45" t="s">
        <v>22</v>
      </c>
      <c r="K71" s="45"/>
      <c r="L71" s="45" t="s">
        <v>22</v>
      </c>
      <c r="M71" s="44" t="s">
        <v>203</v>
      </c>
    </row>
    <row r="72" spans="1:14" hidden="1" x14ac:dyDescent="0.25">
      <c r="A72" s="137" t="s">
        <v>391</v>
      </c>
      <c r="B72" s="110" t="s">
        <v>392</v>
      </c>
      <c r="C72" s="110" t="s">
        <v>60</v>
      </c>
      <c r="D72" s="110" t="s">
        <v>388</v>
      </c>
      <c r="E72" s="110" t="s">
        <v>371</v>
      </c>
      <c r="F72" s="45" t="s">
        <v>426</v>
      </c>
      <c r="G72" s="138"/>
      <c r="H72" s="138" t="s">
        <v>80</v>
      </c>
      <c r="I72" s="138" t="s">
        <v>22</v>
      </c>
      <c r="J72" s="45" t="s">
        <v>22</v>
      </c>
      <c r="K72" s="45"/>
      <c r="L72" s="45" t="s">
        <v>22</v>
      </c>
      <c r="M72" s="44" t="s">
        <v>203</v>
      </c>
    </row>
  </sheetData>
  <autoFilter ref="A1:M72" xr:uid="{00000000-0009-0000-0000-000002000000}">
    <filterColumn colId="4">
      <filters>
        <filter val="Conceptual Solar"/>
        <filter val="Task Tracker"/>
      </filters>
    </filterColumn>
    <sortState xmlns:xlrd2="http://schemas.microsoft.com/office/spreadsheetml/2017/richdata2" ref="A2:M72">
      <sortCondition ref="E1:E72"/>
    </sortState>
  </autoFilter>
  <conditionalFormatting sqref="A39:F39">
    <cfRule type="containsText" dxfId="1" priority="4" operator="containsText" text="$K$58 = &quot;In progress&quot;">
      <formula>NOT(ISERROR(SEARCH("$K$58 = ""In progress""",A39)))</formula>
    </cfRule>
  </conditionalFormatting>
  <conditionalFormatting sqref="H39:L39">
    <cfRule type="containsText" dxfId="0" priority="1" operator="containsText" text="$K$58 = &quot;In progress&quot;">
      <formula>NOT(ISERROR(SEARCH("$K$58 = ""In progress""",H39)))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75"/>
  <sheetViews>
    <sheetView tabSelected="1" workbookViewId="0">
      <selection activeCell="L15" sqref="L15"/>
    </sheetView>
  </sheetViews>
  <sheetFormatPr defaultRowHeight="15" x14ac:dyDescent="0.25"/>
  <cols>
    <col min="1" max="1" width="18" customWidth="1"/>
    <col min="2" max="2" width="123" customWidth="1"/>
    <col min="3" max="3" width="116" bestFit="1" customWidth="1"/>
    <col min="4" max="4" width="24" bestFit="1" customWidth="1"/>
    <col min="5" max="5" width="19" customWidth="1"/>
    <col min="6" max="6" width="92" bestFit="1" customWidth="1"/>
    <col min="7" max="7" width="113" bestFit="1" customWidth="1"/>
    <col min="8" max="8" width="126" bestFit="1" customWidth="1"/>
    <col min="9" max="9" width="47" bestFit="1" customWidth="1"/>
    <col min="10" max="10" width="128" bestFit="1" customWidth="1"/>
    <col min="11" max="11" width="79" bestFit="1" customWidth="1"/>
    <col min="12" max="12" width="247" customWidth="1"/>
    <col min="13" max="13" width="12" customWidth="1"/>
    <col min="14" max="14" width="67" customWidth="1"/>
    <col min="15" max="15" width="22" bestFit="1" customWidth="1"/>
    <col min="16" max="16" width="5" bestFit="1" customWidth="1"/>
    <col min="17" max="17" width="28" customWidth="1"/>
    <col min="18" max="18" width="36" customWidth="1"/>
    <col min="19" max="19" width="25" customWidth="1"/>
    <col min="20" max="20" width="35" customWidth="1"/>
    <col min="21" max="21" width="39" customWidth="1"/>
    <col min="22" max="22" width="32" customWidth="1"/>
    <col min="23" max="23" width="39" customWidth="1"/>
    <col min="24" max="24" width="19" customWidth="1"/>
    <col min="25" max="25" width="28" customWidth="1"/>
    <col min="26" max="26" width="29" customWidth="1"/>
    <col min="27" max="27" width="5" customWidth="1"/>
  </cols>
  <sheetData>
    <row r="1" spans="1:27" ht="21.75" customHeight="1" x14ac:dyDescent="0.25">
      <c r="A1" s="139" t="s">
        <v>0</v>
      </c>
      <c r="B1" s="139" t="s">
        <v>1</v>
      </c>
      <c r="C1" s="139" t="s">
        <v>2</v>
      </c>
      <c r="D1" s="139" t="s">
        <v>3</v>
      </c>
      <c r="E1" s="139" t="s">
        <v>5</v>
      </c>
      <c r="F1" t="s">
        <v>427</v>
      </c>
      <c r="G1" t="s">
        <v>142</v>
      </c>
      <c r="H1" t="s">
        <v>6</v>
      </c>
      <c r="I1" t="s">
        <v>7</v>
      </c>
      <c r="J1" t="s">
        <v>8</v>
      </c>
      <c r="K1" t="s">
        <v>9</v>
      </c>
      <c r="L1" t="s">
        <v>143</v>
      </c>
      <c r="M1" t="s">
        <v>144</v>
      </c>
      <c r="N1" t="s">
        <v>145</v>
      </c>
      <c r="O1" t="s">
        <v>146</v>
      </c>
      <c r="Q1" s="49" t="s">
        <v>147</v>
      </c>
      <c r="R1" s="50" t="s">
        <v>148</v>
      </c>
      <c r="S1" s="50" t="s">
        <v>149</v>
      </c>
      <c r="T1" s="50" t="s">
        <v>150</v>
      </c>
      <c r="U1" s="50" t="s">
        <v>151</v>
      </c>
      <c r="V1" s="50" t="s">
        <v>152</v>
      </c>
      <c r="W1" s="50" t="s">
        <v>153</v>
      </c>
      <c r="X1" s="50" t="s">
        <v>154</v>
      </c>
      <c r="Y1" s="119" t="s">
        <v>155</v>
      </c>
      <c r="Z1" s="51" t="s">
        <v>156</v>
      </c>
    </row>
    <row r="2" spans="1:27" s="6" customFormat="1" ht="75" customHeight="1" x14ac:dyDescent="0.25">
      <c r="A2" s="145" t="s">
        <v>49</v>
      </c>
      <c r="B2" s="145" t="s">
        <v>50</v>
      </c>
      <c r="C2" s="145" t="s">
        <v>15</v>
      </c>
      <c r="D2" s="145" t="s">
        <v>51</v>
      </c>
      <c r="E2" s="145" t="s">
        <v>53</v>
      </c>
      <c r="F2" s="146" t="s">
        <v>160</v>
      </c>
      <c r="G2" s="146"/>
      <c r="H2" s="146"/>
      <c r="I2" s="146" t="s">
        <v>428</v>
      </c>
      <c r="J2" s="158">
        <v>45728</v>
      </c>
      <c r="K2" s="146" t="s">
        <v>80</v>
      </c>
      <c r="L2" s="147" t="s">
        <v>429</v>
      </c>
      <c r="M2" s="146" t="s">
        <v>430</v>
      </c>
      <c r="N2" s="146"/>
      <c r="O2" s="146"/>
      <c r="Q2" s="140">
        <f>COUNTIF(K2:K16,"Done")</f>
        <v>3</v>
      </c>
      <c r="R2" s="140">
        <f>COUNTIF(K2:K16, "In progress")</f>
        <v>5</v>
      </c>
      <c r="S2" s="140">
        <f>COUNTIF(K2:K16, "")</f>
        <v>7</v>
      </c>
      <c r="T2" s="140">
        <f>COUNTIF(K2:K16, "in standby")</f>
        <v>0</v>
      </c>
      <c r="U2" s="140">
        <f>COUNTIF(K2:K16, "support ticket")</f>
        <v>0</v>
      </c>
      <c r="V2" s="140">
        <f>COUNTIF(K2:K16, "blocked")</f>
        <v>0</v>
      </c>
      <c r="W2" s="140">
        <f>COUNTIF(K2:K16, "In dismissione")</f>
        <v>0</v>
      </c>
      <c r="X2" s="140">
        <v>15</v>
      </c>
      <c r="Y2" s="140">
        <v>15</v>
      </c>
      <c r="Z2" s="141">
        <f>ROUND(Q2/Y2, 2)</f>
        <v>0.2</v>
      </c>
    </row>
    <row r="3" spans="1:27" ht="60" customHeight="1" x14ac:dyDescent="0.25">
      <c r="A3" s="145" t="s">
        <v>78</v>
      </c>
      <c r="B3" s="145" t="s">
        <v>79</v>
      </c>
      <c r="C3" s="145" t="s">
        <v>60</v>
      </c>
      <c r="D3" s="145" t="s">
        <v>74</v>
      </c>
      <c r="E3" s="145" t="s">
        <v>53</v>
      </c>
      <c r="F3" s="146" t="s">
        <v>160</v>
      </c>
      <c r="G3" s="146"/>
      <c r="H3" s="146"/>
      <c r="I3" s="146" t="s">
        <v>431</v>
      </c>
      <c r="J3" s="159"/>
      <c r="K3" s="146" t="s">
        <v>389</v>
      </c>
      <c r="L3" s="147" t="s">
        <v>432</v>
      </c>
      <c r="M3" s="146" t="s">
        <v>430</v>
      </c>
      <c r="N3" s="146"/>
      <c r="O3" s="146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60" customHeight="1" x14ac:dyDescent="0.25">
      <c r="A4" s="145" t="s">
        <v>72</v>
      </c>
      <c r="B4" s="145" t="s">
        <v>73</v>
      </c>
      <c r="C4" s="145" t="s">
        <v>60</v>
      </c>
      <c r="D4" s="145" t="s">
        <v>74</v>
      </c>
      <c r="E4" s="145" t="s">
        <v>53</v>
      </c>
      <c r="F4" s="146" t="s">
        <v>160</v>
      </c>
      <c r="G4" s="146"/>
      <c r="H4" s="146"/>
      <c r="I4" s="146" t="s">
        <v>431</v>
      </c>
      <c r="J4" s="159"/>
      <c r="K4" s="146" t="s">
        <v>389</v>
      </c>
      <c r="L4" s="147" t="s">
        <v>432</v>
      </c>
      <c r="M4" s="146" t="s">
        <v>430</v>
      </c>
      <c r="N4" s="146"/>
      <c r="O4" s="146"/>
    </row>
    <row r="5" spans="1:27" ht="60" customHeight="1" x14ac:dyDescent="0.25">
      <c r="A5" s="142" t="s">
        <v>76</v>
      </c>
      <c r="B5" s="142" t="s">
        <v>77</v>
      </c>
      <c r="C5" s="142" t="s">
        <v>60</v>
      </c>
      <c r="D5" s="142" t="s">
        <v>74</v>
      </c>
      <c r="E5" s="142" t="s">
        <v>53</v>
      </c>
      <c r="F5" s="151" t="s">
        <v>160</v>
      </c>
      <c r="G5" s="151"/>
      <c r="H5" s="151"/>
      <c r="I5" s="151" t="s">
        <v>431</v>
      </c>
      <c r="J5" s="160"/>
      <c r="K5" s="151" t="s">
        <v>389</v>
      </c>
      <c r="L5" s="152" t="s">
        <v>432</v>
      </c>
      <c r="M5" s="151" t="s">
        <v>430</v>
      </c>
      <c r="N5" s="152" t="s">
        <v>433</v>
      </c>
      <c r="O5" s="151"/>
    </row>
    <row r="6" spans="1:27" s="6" customFormat="1" ht="105" customHeight="1" x14ac:dyDescent="0.25">
      <c r="A6" s="149" t="s">
        <v>225</v>
      </c>
      <c r="B6" s="149" t="s">
        <v>226</v>
      </c>
      <c r="C6" s="149" t="s">
        <v>15</v>
      </c>
      <c r="D6" s="149" t="s">
        <v>51</v>
      </c>
      <c r="E6" s="149" t="s">
        <v>124</v>
      </c>
      <c r="F6" s="150"/>
      <c r="G6" s="150"/>
      <c r="H6" s="150"/>
      <c r="I6" s="150"/>
      <c r="J6" s="161"/>
      <c r="K6" s="150"/>
      <c r="L6" s="148" t="s">
        <v>434</v>
      </c>
      <c r="M6" s="150"/>
      <c r="N6" s="148" t="s">
        <v>435</v>
      </c>
      <c r="O6" s="150"/>
    </row>
    <row r="7" spans="1:27" ht="30" customHeight="1" x14ac:dyDescent="0.25">
      <c r="A7" s="149" t="s">
        <v>232</v>
      </c>
      <c r="B7" s="149" t="s">
        <v>233</v>
      </c>
      <c r="C7" s="149" t="s">
        <v>15</v>
      </c>
      <c r="D7" s="149" t="s">
        <v>51</v>
      </c>
      <c r="E7" s="149" t="s">
        <v>124</v>
      </c>
      <c r="F7" s="150"/>
      <c r="G7" s="150"/>
      <c r="H7" s="150"/>
      <c r="I7" s="150"/>
      <c r="J7" s="161"/>
      <c r="K7" s="150"/>
      <c r="L7" s="148" t="s">
        <v>436</v>
      </c>
      <c r="M7" s="150"/>
      <c r="N7" s="150"/>
      <c r="O7" s="150"/>
    </row>
    <row r="8" spans="1:27" ht="30" customHeight="1" x14ac:dyDescent="0.25">
      <c r="A8" s="149" t="s">
        <v>234</v>
      </c>
      <c r="B8" s="149" t="s">
        <v>235</v>
      </c>
      <c r="C8" s="149" t="s">
        <v>15</v>
      </c>
      <c r="D8" s="149" t="s">
        <v>51</v>
      </c>
      <c r="E8" s="149" t="s">
        <v>124</v>
      </c>
      <c r="F8" s="150"/>
      <c r="G8" s="150"/>
      <c r="H8" s="150"/>
      <c r="I8" s="150"/>
      <c r="J8" s="161"/>
      <c r="K8" s="150"/>
      <c r="L8" s="148" t="s">
        <v>436</v>
      </c>
      <c r="M8" s="150"/>
      <c r="N8" s="150"/>
      <c r="O8" s="150"/>
    </row>
    <row r="9" spans="1:27" s="6" customFormat="1" ht="30" customHeight="1" x14ac:dyDescent="0.25">
      <c r="A9" s="149" t="s">
        <v>133</v>
      </c>
      <c r="B9" s="149" t="s">
        <v>134</v>
      </c>
      <c r="C9" s="149" t="s">
        <v>60</v>
      </c>
      <c r="D9" s="149" t="s">
        <v>128</v>
      </c>
      <c r="E9" s="149" t="s">
        <v>124</v>
      </c>
      <c r="F9" s="150"/>
      <c r="G9" s="150"/>
      <c r="H9" s="150"/>
      <c r="I9" s="150"/>
      <c r="J9" s="161"/>
      <c r="K9" s="150"/>
      <c r="L9" s="148" t="s">
        <v>436</v>
      </c>
      <c r="M9" s="150"/>
      <c r="N9" s="150"/>
      <c r="O9" s="150"/>
    </row>
    <row r="10" spans="1:27" ht="30" customHeight="1" x14ac:dyDescent="0.25">
      <c r="A10" s="149" t="s">
        <v>131</v>
      </c>
      <c r="B10" s="149" t="s">
        <v>132</v>
      </c>
      <c r="C10" s="149" t="s">
        <v>60</v>
      </c>
      <c r="D10" s="149" t="s">
        <v>128</v>
      </c>
      <c r="E10" s="149" t="s">
        <v>124</v>
      </c>
      <c r="F10" s="150"/>
      <c r="G10" s="150"/>
      <c r="H10" s="150"/>
      <c r="I10" s="150"/>
      <c r="J10" s="161"/>
      <c r="K10" s="150"/>
      <c r="L10" s="148" t="s">
        <v>436</v>
      </c>
      <c r="M10" s="150"/>
      <c r="N10" s="150"/>
      <c r="O10" s="150"/>
    </row>
    <row r="11" spans="1:27" ht="30" customHeight="1" x14ac:dyDescent="0.25">
      <c r="A11" s="149" t="s">
        <v>126</v>
      </c>
      <c r="B11" s="149" t="s">
        <v>127</v>
      </c>
      <c r="C11" s="149" t="s">
        <v>60</v>
      </c>
      <c r="D11" s="149" t="s">
        <v>128</v>
      </c>
      <c r="E11" s="149" t="s">
        <v>124</v>
      </c>
      <c r="F11" s="150"/>
      <c r="G11" s="150"/>
      <c r="H11" s="150"/>
      <c r="I11" s="150"/>
      <c r="J11" s="161"/>
      <c r="K11" s="150"/>
      <c r="L11" s="148" t="s">
        <v>436</v>
      </c>
      <c r="M11" s="150"/>
      <c r="N11" s="150"/>
      <c r="O11" s="150"/>
    </row>
    <row r="12" spans="1:27" ht="30" customHeight="1" x14ac:dyDescent="0.25">
      <c r="A12" s="149" t="s">
        <v>122</v>
      </c>
      <c r="B12" s="149" t="s">
        <v>123</v>
      </c>
      <c r="C12" s="149" t="s">
        <v>60</v>
      </c>
      <c r="D12" s="149" t="s">
        <v>74</v>
      </c>
      <c r="E12" s="149" t="s">
        <v>124</v>
      </c>
      <c r="F12" s="150"/>
      <c r="G12" s="150"/>
      <c r="H12" s="150"/>
      <c r="I12" s="150"/>
      <c r="J12" s="161"/>
      <c r="K12" s="150"/>
      <c r="L12" s="148" t="s">
        <v>436</v>
      </c>
      <c r="M12" s="150"/>
      <c r="N12" s="150"/>
      <c r="O12" s="150"/>
    </row>
    <row r="13" spans="1:27" x14ac:dyDescent="0.25">
      <c r="A13" s="145" t="s">
        <v>242</v>
      </c>
      <c r="B13" s="145" t="s">
        <v>243</v>
      </c>
      <c r="C13" s="145" t="s">
        <v>15</v>
      </c>
      <c r="D13" s="145" t="s">
        <v>51</v>
      </c>
      <c r="E13" s="145" t="s">
        <v>138</v>
      </c>
      <c r="F13" s="146"/>
      <c r="G13" s="146"/>
      <c r="H13" s="146"/>
      <c r="I13" s="146" t="s">
        <v>431</v>
      </c>
      <c r="J13" s="158">
        <v>45728</v>
      </c>
      <c r="K13" s="146" t="s">
        <v>80</v>
      </c>
      <c r="L13" s="147"/>
      <c r="M13" s="146" t="s">
        <v>437</v>
      </c>
      <c r="N13" s="146"/>
      <c r="O13" s="146"/>
    </row>
    <row r="14" spans="1:27" ht="60" customHeight="1" x14ac:dyDescent="0.25">
      <c r="A14" s="145" t="s">
        <v>136</v>
      </c>
      <c r="B14" s="145" t="s">
        <v>137</v>
      </c>
      <c r="C14" s="145" t="s">
        <v>60</v>
      </c>
      <c r="D14" s="145" t="s">
        <v>74</v>
      </c>
      <c r="E14" s="145" t="s">
        <v>138</v>
      </c>
      <c r="F14" s="146"/>
      <c r="G14" s="146"/>
      <c r="H14" s="146"/>
      <c r="I14" s="146" t="s">
        <v>431</v>
      </c>
      <c r="J14" s="158">
        <v>45728</v>
      </c>
      <c r="K14" s="146" t="s">
        <v>80</v>
      </c>
      <c r="L14" s="147" t="s">
        <v>432</v>
      </c>
      <c r="M14" s="146" t="s">
        <v>430</v>
      </c>
      <c r="N14" s="146"/>
      <c r="O14" s="146"/>
    </row>
    <row r="15" spans="1:27" x14ac:dyDescent="0.25">
      <c r="A15" s="145" t="s">
        <v>198</v>
      </c>
      <c r="B15" s="145" t="s">
        <v>199</v>
      </c>
      <c r="C15" s="145" t="s">
        <v>15</v>
      </c>
      <c r="D15" s="145" t="s">
        <v>51</v>
      </c>
      <c r="E15" s="145" t="s">
        <v>200</v>
      </c>
      <c r="F15" s="146"/>
      <c r="G15" s="146"/>
      <c r="H15" s="146"/>
      <c r="I15" s="146" t="s">
        <v>431</v>
      </c>
      <c r="J15" s="159"/>
      <c r="K15" s="146" t="s">
        <v>389</v>
      </c>
      <c r="L15" s="147" t="s">
        <v>438</v>
      </c>
      <c r="M15" s="146" t="s">
        <v>430</v>
      </c>
      <c r="N15" s="146"/>
      <c r="O15" s="146"/>
    </row>
    <row r="16" spans="1:27" x14ac:dyDescent="0.25">
      <c r="A16" s="145" t="s">
        <v>276</v>
      </c>
      <c r="B16" s="145" t="s">
        <v>277</v>
      </c>
      <c r="C16" s="145" t="s">
        <v>60</v>
      </c>
      <c r="D16" s="145" t="s">
        <v>128</v>
      </c>
      <c r="E16" s="145" t="s">
        <v>200</v>
      </c>
      <c r="F16" s="146"/>
      <c r="G16" s="146"/>
      <c r="H16" s="146"/>
      <c r="I16" s="146" t="s">
        <v>431</v>
      </c>
      <c r="J16" s="159"/>
      <c r="K16" s="146" t="s">
        <v>389</v>
      </c>
      <c r="L16" s="147" t="s">
        <v>438</v>
      </c>
      <c r="M16" s="146" t="s">
        <v>430</v>
      </c>
      <c r="N16" s="146"/>
      <c r="O16" s="146"/>
    </row>
    <row r="17" spans="1:11" x14ac:dyDescent="0.25">
      <c r="A17" s="7" t="s">
        <v>140</v>
      </c>
    </row>
    <row r="20" spans="1:11" x14ac:dyDescent="0.25">
      <c r="A20" s="153"/>
      <c r="B20" s="153" t="s">
        <v>439</v>
      </c>
    </row>
    <row r="21" spans="1:11" x14ac:dyDescent="0.25">
      <c r="A21" s="154" t="s">
        <v>440</v>
      </c>
      <c r="B21" s="154" t="s">
        <v>441</v>
      </c>
    </row>
    <row r="22" spans="1:11" x14ac:dyDescent="0.25">
      <c r="A22" s="154" t="s">
        <v>442</v>
      </c>
      <c r="B22" s="154" t="s">
        <v>443</v>
      </c>
    </row>
    <row r="23" spans="1:11" x14ac:dyDescent="0.25">
      <c r="A23" s="154" t="s">
        <v>444</v>
      </c>
      <c r="B23" s="154" t="s">
        <v>445</v>
      </c>
    </row>
    <row r="24" spans="1:11" x14ac:dyDescent="0.25">
      <c r="A24" s="154" t="s">
        <v>446</v>
      </c>
      <c r="B24" s="154" t="s">
        <v>447</v>
      </c>
    </row>
    <row r="25" spans="1:11" x14ac:dyDescent="0.25">
      <c r="A25" s="154" t="s">
        <v>448</v>
      </c>
      <c r="B25" s="154" t="s">
        <v>449</v>
      </c>
    </row>
    <row r="26" spans="1:11" x14ac:dyDescent="0.25">
      <c r="A26" s="154" t="s">
        <v>450</v>
      </c>
      <c r="B26" s="154" t="s">
        <v>451</v>
      </c>
    </row>
    <row r="29" spans="1:11" x14ac:dyDescent="0.25">
      <c r="A29" s="153" t="s">
        <v>452</v>
      </c>
      <c r="B29" s="153" t="s">
        <v>453</v>
      </c>
      <c r="C29" s="153" t="s">
        <v>454</v>
      </c>
      <c r="D29" s="153" t="s">
        <v>455</v>
      </c>
      <c r="E29" s="153" t="s">
        <v>3</v>
      </c>
      <c r="F29" s="153" t="s">
        <v>456</v>
      </c>
      <c r="G29" s="153" t="s">
        <v>457</v>
      </c>
      <c r="H29" s="153" t="s">
        <v>458</v>
      </c>
      <c r="I29" s="153" t="s">
        <v>459</v>
      </c>
      <c r="J29" s="153" t="s">
        <v>460</v>
      </c>
      <c r="K29" s="153" t="s">
        <v>461</v>
      </c>
    </row>
    <row r="30" spans="1:11" x14ac:dyDescent="0.25">
      <c r="A30" s="154" t="s">
        <v>440</v>
      </c>
      <c r="B30" s="154" t="s">
        <v>440</v>
      </c>
      <c r="C30" s="154" t="s">
        <v>440</v>
      </c>
      <c r="D30" s="154" t="s">
        <v>462</v>
      </c>
      <c r="E30" s="154" t="s">
        <v>463</v>
      </c>
      <c r="F30" s="154" t="s">
        <v>464</v>
      </c>
      <c r="G30" s="154" t="s">
        <v>465</v>
      </c>
      <c r="H30" s="154" t="s">
        <v>466</v>
      </c>
      <c r="I30" s="154" t="s">
        <v>467</v>
      </c>
      <c r="J30" s="154" t="s">
        <v>468</v>
      </c>
      <c r="K30" s="154" t="s">
        <v>469</v>
      </c>
    </row>
    <row r="31" spans="1:11" x14ac:dyDescent="0.25">
      <c r="A31" s="155" t="s">
        <v>442</v>
      </c>
      <c r="B31" s="154" t="s">
        <v>442</v>
      </c>
      <c r="C31" s="154" t="s">
        <v>450</v>
      </c>
      <c r="D31" s="154" t="s">
        <v>198</v>
      </c>
      <c r="E31" s="154" t="s">
        <v>51</v>
      </c>
      <c r="F31" s="154" t="s">
        <v>470</v>
      </c>
      <c r="G31" s="154" t="s">
        <v>471</v>
      </c>
      <c r="H31" s="154" t="s">
        <v>472</v>
      </c>
      <c r="I31" s="154" t="s">
        <v>473</v>
      </c>
      <c r="J31" s="154" t="s">
        <v>474</v>
      </c>
      <c r="K31" s="154" t="s">
        <v>475</v>
      </c>
    </row>
    <row r="32" spans="1:11" x14ac:dyDescent="0.25">
      <c r="A32" s="156" t="s">
        <v>444</v>
      </c>
      <c r="B32" s="154" t="s">
        <v>476</v>
      </c>
      <c r="C32" s="154" t="s">
        <v>476</v>
      </c>
      <c r="D32" s="154" t="s">
        <v>198</v>
      </c>
      <c r="E32" s="154" t="s">
        <v>51</v>
      </c>
      <c r="F32" s="154" t="s">
        <v>477</v>
      </c>
      <c r="G32" s="154" t="s">
        <v>471</v>
      </c>
      <c r="H32" s="154" t="s">
        <v>472</v>
      </c>
      <c r="I32" s="154" t="s">
        <v>478</v>
      </c>
      <c r="J32" s="154"/>
      <c r="K32" s="154" t="s">
        <v>479</v>
      </c>
    </row>
    <row r="33" spans="1:11" x14ac:dyDescent="0.25">
      <c r="A33" s="156" t="s">
        <v>446</v>
      </c>
      <c r="B33" s="154" t="s">
        <v>446</v>
      </c>
      <c r="C33" s="154" t="s">
        <v>476</v>
      </c>
      <c r="D33" s="154" t="s">
        <v>49</v>
      </c>
      <c r="E33" s="154" t="s">
        <v>51</v>
      </c>
      <c r="F33" s="154" t="s">
        <v>470</v>
      </c>
      <c r="G33" s="154" t="s">
        <v>471</v>
      </c>
      <c r="H33" s="154" t="s">
        <v>480</v>
      </c>
      <c r="I33" s="154" t="s">
        <v>481</v>
      </c>
      <c r="J33" s="157" t="s">
        <v>482</v>
      </c>
      <c r="K33" s="154"/>
    </row>
    <row r="34" spans="1:11" x14ac:dyDescent="0.25">
      <c r="A34" s="156" t="s">
        <v>446</v>
      </c>
      <c r="B34" s="154" t="s">
        <v>446</v>
      </c>
      <c r="C34" s="154" t="s">
        <v>450</v>
      </c>
      <c r="D34" s="154" t="s">
        <v>225</v>
      </c>
      <c r="E34" s="154" t="s">
        <v>51</v>
      </c>
      <c r="F34" s="154" t="s">
        <v>470</v>
      </c>
      <c r="G34" s="154" t="s">
        <v>471</v>
      </c>
      <c r="H34" s="154" t="s">
        <v>483</v>
      </c>
      <c r="I34" s="154" t="s">
        <v>484</v>
      </c>
      <c r="J34" s="154" t="s">
        <v>485</v>
      </c>
      <c r="K34" s="154" t="s">
        <v>486</v>
      </c>
    </row>
    <row r="35" spans="1:11" x14ac:dyDescent="0.25">
      <c r="A35" s="156" t="s">
        <v>446</v>
      </c>
      <c r="B35" s="154" t="s">
        <v>450</v>
      </c>
      <c r="C35" s="154" t="s">
        <v>450</v>
      </c>
      <c r="D35" s="154" t="s">
        <v>232</v>
      </c>
      <c r="E35" s="154" t="s">
        <v>51</v>
      </c>
      <c r="F35" s="154" t="s">
        <v>470</v>
      </c>
      <c r="G35" s="154" t="s">
        <v>471</v>
      </c>
      <c r="H35" s="154" t="s">
        <v>487</v>
      </c>
      <c r="I35" s="154" t="s">
        <v>488</v>
      </c>
      <c r="J35" s="154" t="s">
        <v>466</v>
      </c>
      <c r="K35" s="154" t="s">
        <v>486</v>
      </c>
    </row>
    <row r="36" spans="1:11" x14ac:dyDescent="0.25">
      <c r="A36" s="156" t="s">
        <v>446</v>
      </c>
      <c r="B36" s="154" t="s">
        <v>450</v>
      </c>
      <c r="C36" s="154" t="s">
        <v>450</v>
      </c>
      <c r="D36" s="154" t="s">
        <v>234</v>
      </c>
      <c r="E36" s="154" t="s">
        <v>51</v>
      </c>
      <c r="F36" s="154" t="s">
        <v>470</v>
      </c>
      <c r="G36" s="154" t="s">
        <v>471</v>
      </c>
      <c r="H36" s="154" t="s">
        <v>489</v>
      </c>
      <c r="I36" s="154" t="s">
        <v>488</v>
      </c>
      <c r="J36" s="154" t="s">
        <v>466</v>
      </c>
      <c r="K36" s="154" t="s">
        <v>486</v>
      </c>
    </row>
    <row r="37" spans="1:11" x14ac:dyDescent="0.25">
      <c r="A37" s="156" t="s">
        <v>446</v>
      </c>
      <c r="B37" s="154" t="s">
        <v>446</v>
      </c>
      <c r="C37" s="154" t="s">
        <v>476</v>
      </c>
      <c r="D37" s="154" t="s">
        <v>242</v>
      </c>
      <c r="E37" s="154" t="s">
        <v>51</v>
      </c>
      <c r="F37" s="154" t="s">
        <v>470</v>
      </c>
      <c r="G37" s="154" t="s">
        <v>471</v>
      </c>
      <c r="H37" s="154" t="s">
        <v>490</v>
      </c>
      <c r="I37" s="154" t="s">
        <v>491</v>
      </c>
      <c r="J37" s="157" t="s">
        <v>492</v>
      </c>
      <c r="K37" s="154"/>
    </row>
    <row r="38" spans="1:11" x14ac:dyDescent="0.25">
      <c r="A38" s="154" t="s">
        <v>493</v>
      </c>
      <c r="B38" s="154" t="s">
        <v>494</v>
      </c>
      <c r="C38" s="154" t="s">
        <v>494</v>
      </c>
      <c r="D38" s="154" t="s">
        <v>495</v>
      </c>
      <c r="E38" s="154" t="s">
        <v>494</v>
      </c>
      <c r="F38" s="154" t="s">
        <v>496</v>
      </c>
      <c r="G38" s="154" t="s">
        <v>497</v>
      </c>
      <c r="H38" s="154" t="s">
        <v>498</v>
      </c>
      <c r="I38" s="154" t="s">
        <v>488</v>
      </c>
      <c r="J38" s="154" t="s">
        <v>466</v>
      </c>
      <c r="K38" s="154" t="s">
        <v>499</v>
      </c>
    </row>
    <row r="39" spans="1:11" x14ac:dyDescent="0.25">
      <c r="A39" s="156" t="s">
        <v>446</v>
      </c>
      <c r="B39" s="154" t="s">
        <v>446</v>
      </c>
      <c r="C39" s="154" t="s">
        <v>476</v>
      </c>
      <c r="D39" s="154" t="s">
        <v>78</v>
      </c>
      <c r="E39" s="154" t="s">
        <v>74</v>
      </c>
      <c r="F39" s="154" t="s">
        <v>470</v>
      </c>
      <c r="G39" s="154" t="s">
        <v>500</v>
      </c>
      <c r="H39" s="154" t="s">
        <v>501</v>
      </c>
      <c r="I39" s="154" t="s">
        <v>502</v>
      </c>
      <c r="J39" s="157" t="s">
        <v>503</v>
      </c>
      <c r="K39" s="154"/>
    </row>
    <row r="40" spans="1:11" x14ac:dyDescent="0.25">
      <c r="A40" s="156" t="s">
        <v>446</v>
      </c>
      <c r="B40" s="154" t="s">
        <v>446</v>
      </c>
      <c r="C40" s="154" t="s">
        <v>476</v>
      </c>
      <c r="D40" s="154" t="s">
        <v>72</v>
      </c>
      <c r="E40" s="154" t="s">
        <v>74</v>
      </c>
      <c r="F40" s="154" t="s">
        <v>470</v>
      </c>
      <c r="G40" s="154" t="s">
        <v>500</v>
      </c>
      <c r="H40" s="154" t="s">
        <v>504</v>
      </c>
      <c r="I40" s="154" t="s">
        <v>505</v>
      </c>
      <c r="J40" s="157" t="s">
        <v>506</v>
      </c>
      <c r="K40" s="154"/>
    </row>
    <row r="41" spans="1:11" x14ac:dyDescent="0.25">
      <c r="A41" s="156" t="s">
        <v>446</v>
      </c>
      <c r="B41" s="154" t="s">
        <v>446</v>
      </c>
      <c r="C41" s="154" t="s">
        <v>476</v>
      </c>
      <c r="D41" s="154" t="s">
        <v>76</v>
      </c>
      <c r="E41" s="154" t="s">
        <v>74</v>
      </c>
      <c r="F41" s="154" t="s">
        <v>470</v>
      </c>
      <c r="G41" s="154" t="s">
        <v>500</v>
      </c>
      <c r="H41" s="154" t="s">
        <v>507</v>
      </c>
      <c r="I41" s="154" t="s">
        <v>508</v>
      </c>
      <c r="J41" s="154" t="s">
        <v>509</v>
      </c>
      <c r="K41" s="154"/>
    </row>
    <row r="42" spans="1:11" x14ac:dyDescent="0.25">
      <c r="A42" s="156" t="s">
        <v>446</v>
      </c>
      <c r="B42" s="154" t="s">
        <v>450</v>
      </c>
      <c r="C42" s="154" t="s">
        <v>450</v>
      </c>
      <c r="D42" s="154" t="s">
        <v>122</v>
      </c>
      <c r="E42" s="154" t="s">
        <v>74</v>
      </c>
      <c r="F42" s="154" t="s">
        <v>470</v>
      </c>
      <c r="G42" s="154" t="s">
        <v>500</v>
      </c>
      <c r="H42" s="154" t="s">
        <v>510</v>
      </c>
      <c r="I42" s="154" t="s">
        <v>488</v>
      </c>
      <c r="J42" s="154" t="s">
        <v>466</v>
      </c>
      <c r="K42" s="154" t="s">
        <v>486</v>
      </c>
    </row>
    <row r="43" spans="1:11" x14ac:dyDescent="0.25">
      <c r="A43" s="156" t="s">
        <v>446</v>
      </c>
      <c r="B43" s="154" t="s">
        <v>446</v>
      </c>
      <c r="C43" s="154" t="s">
        <v>476</v>
      </c>
      <c r="D43" s="154" t="s">
        <v>136</v>
      </c>
      <c r="E43" s="154" t="s">
        <v>74</v>
      </c>
      <c r="F43" s="154" t="s">
        <v>470</v>
      </c>
      <c r="G43" s="154" t="s">
        <v>500</v>
      </c>
      <c r="H43" s="154" t="s">
        <v>511</v>
      </c>
      <c r="I43" s="154" t="s">
        <v>512</v>
      </c>
      <c r="J43" s="154" t="s">
        <v>513</v>
      </c>
      <c r="K43" s="154"/>
    </row>
    <row r="44" spans="1:11" x14ac:dyDescent="0.25">
      <c r="A44" s="154" t="s">
        <v>493</v>
      </c>
      <c r="B44" s="154" t="s">
        <v>462</v>
      </c>
      <c r="C44" s="154" t="s">
        <v>494</v>
      </c>
      <c r="D44" s="154" t="s">
        <v>495</v>
      </c>
      <c r="E44" s="154" t="s">
        <v>494</v>
      </c>
      <c r="F44" s="154" t="s">
        <v>496</v>
      </c>
      <c r="G44" s="154" t="s">
        <v>497</v>
      </c>
      <c r="H44" s="154" t="s">
        <v>498</v>
      </c>
      <c r="I44" s="154" t="s">
        <v>488</v>
      </c>
      <c r="J44" s="154" t="s">
        <v>466</v>
      </c>
      <c r="K44" s="154" t="s">
        <v>499</v>
      </c>
    </row>
    <row r="45" spans="1:11" x14ac:dyDescent="0.25">
      <c r="A45" s="156" t="s">
        <v>446</v>
      </c>
      <c r="B45" s="154" t="s">
        <v>450</v>
      </c>
      <c r="C45" s="154" t="s">
        <v>450</v>
      </c>
      <c r="D45" s="154" t="s">
        <v>133</v>
      </c>
      <c r="E45" s="154" t="s">
        <v>128</v>
      </c>
      <c r="F45" s="154" t="s">
        <v>470</v>
      </c>
      <c r="G45" s="154" t="s">
        <v>514</v>
      </c>
      <c r="H45" s="154" t="s">
        <v>515</v>
      </c>
      <c r="I45" s="154" t="s">
        <v>488</v>
      </c>
      <c r="J45" s="154" t="s">
        <v>466</v>
      </c>
      <c r="K45" s="154" t="s">
        <v>486</v>
      </c>
    </row>
    <row r="46" spans="1:11" x14ac:dyDescent="0.25">
      <c r="A46" s="156" t="s">
        <v>446</v>
      </c>
      <c r="B46" s="154" t="s">
        <v>450</v>
      </c>
      <c r="C46" s="154" t="s">
        <v>450</v>
      </c>
      <c r="D46" s="154" t="s">
        <v>131</v>
      </c>
      <c r="E46" s="154" t="s">
        <v>128</v>
      </c>
      <c r="F46" s="154" t="s">
        <v>470</v>
      </c>
      <c r="G46" s="154" t="s">
        <v>514</v>
      </c>
      <c r="H46" s="154" t="s">
        <v>516</v>
      </c>
      <c r="I46" s="154" t="s">
        <v>488</v>
      </c>
      <c r="J46" s="154" t="s">
        <v>466</v>
      </c>
      <c r="K46" s="154" t="s">
        <v>486</v>
      </c>
    </row>
    <row r="47" spans="1:11" x14ac:dyDescent="0.25">
      <c r="A47" s="156" t="s">
        <v>446</v>
      </c>
      <c r="B47" s="154" t="s">
        <v>450</v>
      </c>
      <c r="C47" s="154" t="s">
        <v>450</v>
      </c>
      <c r="D47" s="154" t="s">
        <v>126</v>
      </c>
      <c r="E47" s="154" t="s">
        <v>128</v>
      </c>
      <c r="F47" s="154" t="s">
        <v>470</v>
      </c>
      <c r="G47" s="154" t="s">
        <v>514</v>
      </c>
      <c r="H47" s="154" t="s">
        <v>517</v>
      </c>
      <c r="I47" s="154" t="s">
        <v>488</v>
      </c>
      <c r="J47" s="154" t="s">
        <v>466</v>
      </c>
      <c r="K47" s="154" t="s">
        <v>486</v>
      </c>
    </row>
    <row r="48" spans="1:11" x14ac:dyDescent="0.25">
      <c r="A48" s="155" t="s">
        <v>442</v>
      </c>
      <c r="B48" s="154" t="s">
        <v>450</v>
      </c>
      <c r="C48" s="154" t="s">
        <v>450</v>
      </c>
      <c r="D48" s="154" t="s">
        <v>276</v>
      </c>
      <c r="E48" s="154" t="s">
        <v>128</v>
      </c>
      <c r="F48" s="154" t="s">
        <v>470</v>
      </c>
      <c r="G48" s="154" t="s">
        <v>514</v>
      </c>
      <c r="H48" s="154" t="s">
        <v>518</v>
      </c>
      <c r="I48" s="154" t="s">
        <v>519</v>
      </c>
      <c r="J48" s="154" t="s">
        <v>520</v>
      </c>
      <c r="K48" s="154" t="s">
        <v>475</v>
      </c>
    </row>
    <row r="49" spans="1:11" x14ac:dyDescent="0.25">
      <c r="A49" s="156" t="s">
        <v>444</v>
      </c>
      <c r="B49" s="154" t="s">
        <v>476</v>
      </c>
      <c r="C49" s="154" t="s">
        <v>476</v>
      </c>
      <c r="D49" s="154" t="s">
        <v>276</v>
      </c>
      <c r="E49" s="154" t="s">
        <v>128</v>
      </c>
      <c r="F49" s="154" t="s">
        <v>521</v>
      </c>
      <c r="G49" s="154" t="s">
        <v>514</v>
      </c>
      <c r="H49" s="154" t="s">
        <v>518</v>
      </c>
      <c r="I49" s="154" t="s">
        <v>522</v>
      </c>
      <c r="J49" s="154"/>
      <c r="K49" s="154" t="s">
        <v>479</v>
      </c>
    </row>
    <row r="52" spans="1:11" x14ac:dyDescent="0.25">
      <c r="A52" s="153" t="s">
        <v>455</v>
      </c>
      <c r="B52" s="153" t="s">
        <v>523</v>
      </c>
      <c r="C52" s="153" t="s">
        <v>3</v>
      </c>
      <c r="D52" s="153" t="s">
        <v>524</v>
      </c>
      <c r="E52" s="153" t="s">
        <v>5</v>
      </c>
      <c r="F52" s="153" t="s">
        <v>525</v>
      </c>
      <c r="G52" s="153" t="s">
        <v>526</v>
      </c>
    </row>
    <row r="53" spans="1:11" x14ac:dyDescent="0.25">
      <c r="A53" s="154" t="s">
        <v>495</v>
      </c>
      <c r="B53" s="154" t="s">
        <v>527</v>
      </c>
      <c r="C53" s="154" t="s">
        <v>494</v>
      </c>
      <c r="D53" s="154" t="s">
        <v>528</v>
      </c>
      <c r="E53" s="154" t="s">
        <v>529</v>
      </c>
      <c r="F53" s="154" t="s">
        <v>530</v>
      </c>
      <c r="G53" s="154" t="s">
        <v>531</v>
      </c>
    </row>
    <row r="54" spans="1:11" x14ac:dyDescent="0.25">
      <c r="A54" s="154" t="s">
        <v>198</v>
      </c>
      <c r="B54" s="154" t="s">
        <v>199</v>
      </c>
      <c r="C54" s="154" t="s">
        <v>51</v>
      </c>
      <c r="D54" s="154" t="s">
        <v>532</v>
      </c>
      <c r="E54" s="154" t="s">
        <v>200</v>
      </c>
      <c r="F54" s="154" t="s">
        <v>533</v>
      </c>
      <c r="G54" s="154" t="s">
        <v>534</v>
      </c>
    </row>
    <row r="55" spans="1:11" x14ac:dyDescent="0.25">
      <c r="A55" s="154" t="s">
        <v>49</v>
      </c>
      <c r="B55" s="154" t="s">
        <v>50</v>
      </c>
      <c r="C55" s="154" t="s">
        <v>51</v>
      </c>
      <c r="D55" s="154" t="s">
        <v>532</v>
      </c>
      <c r="E55" s="154" t="s">
        <v>53</v>
      </c>
      <c r="F55" s="154" t="s">
        <v>533</v>
      </c>
      <c r="G55" s="154" t="s">
        <v>534</v>
      </c>
    </row>
    <row r="56" spans="1:11" x14ac:dyDescent="0.25">
      <c r="A56" s="154" t="s">
        <v>225</v>
      </c>
      <c r="B56" s="154" t="s">
        <v>226</v>
      </c>
      <c r="C56" s="154" t="s">
        <v>51</v>
      </c>
      <c r="D56" s="154" t="s">
        <v>532</v>
      </c>
      <c r="E56" s="154" t="s">
        <v>124</v>
      </c>
      <c r="F56" s="154" t="s">
        <v>533</v>
      </c>
      <c r="G56" s="154" t="s">
        <v>534</v>
      </c>
    </row>
    <row r="57" spans="1:11" x14ac:dyDescent="0.25">
      <c r="A57" s="154" t="s">
        <v>232</v>
      </c>
      <c r="B57" s="154" t="s">
        <v>233</v>
      </c>
      <c r="C57" s="154" t="s">
        <v>51</v>
      </c>
      <c r="D57" s="154" t="s">
        <v>532</v>
      </c>
      <c r="E57" s="154" t="s">
        <v>124</v>
      </c>
      <c r="F57" s="154" t="s">
        <v>533</v>
      </c>
      <c r="G57" s="154" t="s">
        <v>534</v>
      </c>
    </row>
    <row r="58" spans="1:11" x14ac:dyDescent="0.25">
      <c r="A58" s="154" t="s">
        <v>234</v>
      </c>
      <c r="B58" s="154" t="s">
        <v>235</v>
      </c>
      <c r="C58" s="154" t="s">
        <v>51</v>
      </c>
      <c r="D58" s="154" t="s">
        <v>532</v>
      </c>
      <c r="E58" s="154" t="s">
        <v>124</v>
      </c>
      <c r="F58" s="154" t="s">
        <v>533</v>
      </c>
      <c r="G58" s="154" t="s">
        <v>534</v>
      </c>
    </row>
    <row r="59" spans="1:11" x14ac:dyDescent="0.25">
      <c r="A59" s="154" t="s">
        <v>242</v>
      </c>
      <c r="B59" s="154" t="s">
        <v>243</v>
      </c>
      <c r="C59" s="154" t="s">
        <v>51</v>
      </c>
      <c r="D59" s="154" t="s">
        <v>532</v>
      </c>
      <c r="E59" s="154" t="s">
        <v>138</v>
      </c>
      <c r="F59" s="154" t="s">
        <v>533</v>
      </c>
      <c r="G59" s="154" t="s">
        <v>534</v>
      </c>
    </row>
    <row r="60" spans="1:11" x14ac:dyDescent="0.25">
      <c r="A60" s="154" t="s">
        <v>78</v>
      </c>
      <c r="B60" s="154" t="s">
        <v>79</v>
      </c>
      <c r="C60" s="154" t="s">
        <v>74</v>
      </c>
      <c r="D60" s="154" t="s">
        <v>535</v>
      </c>
      <c r="E60" s="154" t="s">
        <v>53</v>
      </c>
      <c r="F60" s="154" t="s">
        <v>536</v>
      </c>
      <c r="G60" s="154" t="s">
        <v>537</v>
      </c>
    </row>
    <row r="61" spans="1:11" x14ac:dyDescent="0.25">
      <c r="A61" s="154" t="s">
        <v>72</v>
      </c>
      <c r="B61" s="154" t="s">
        <v>73</v>
      </c>
      <c r="C61" s="154" t="s">
        <v>74</v>
      </c>
      <c r="D61" s="154" t="s">
        <v>535</v>
      </c>
      <c r="E61" s="154" t="s">
        <v>53</v>
      </c>
      <c r="F61" s="154" t="s">
        <v>536</v>
      </c>
      <c r="G61" s="154" t="s">
        <v>537</v>
      </c>
    </row>
    <row r="62" spans="1:11" x14ac:dyDescent="0.25">
      <c r="A62" s="154" t="s">
        <v>76</v>
      </c>
      <c r="B62" s="154" t="s">
        <v>77</v>
      </c>
      <c r="C62" s="154" t="s">
        <v>74</v>
      </c>
      <c r="D62" s="154" t="s">
        <v>535</v>
      </c>
      <c r="E62" s="154" t="s">
        <v>53</v>
      </c>
      <c r="F62" s="154" t="s">
        <v>536</v>
      </c>
      <c r="G62" s="154" t="s">
        <v>537</v>
      </c>
    </row>
    <row r="63" spans="1:11" x14ac:dyDescent="0.25">
      <c r="A63" s="154" t="s">
        <v>122</v>
      </c>
      <c r="B63" s="154" t="s">
        <v>123</v>
      </c>
      <c r="C63" s="154" t="s">
        <v>74</v>
      </c>
      <c r="D63" s="154" t="s">
        <v>535</v>
      </c>
      <c r="E63" s="154" t="s">
        <v>124</v>
      </c>
      <c r="F63" s="154" t="s">
        <v>536</v>
      </c>
      <c r="G63" s="154" t="s">
        <v>537</v>
      </c>
    </row>
    <row r="64" spans="1:11" x14ac:dyDescent="0.25">
      <c r="A64" s="154" t="s">
        <v>136</v>
      </c>
      <c r="B64" s="154" t="s">
        <v>137</v>
      </c>
      <c r="C64" s="154" t="s">
        <v>74</v>
      </c>
      <c r="D64" s="154" t="s">
        <v>535</v>
      </c>
      <c r="E64" s="154" t="s">
        <v>138</v>
      </c>
      <c r="F64" s="154" t="s">
        <v>536</v>
      </c>
      <c r="G64" s="154" t="s">
        <v>537</v>
      </c>
    </row>
    <row r="65" spans="1:7" x14ac:dyDescent="0.25">
      <c r="A65" s="154" t="s">
        <v>133</v>
      </c>
      <c r="B65" s="154" t="s">
        <v>134</v>
      </c>
      <c r="C65" s="154" t="s">
        <v>128</v>
      </c>
      <c r="D65" s="154" t="s">
        <v>538</v>
      </c>
      <c r="E65" s="154" t="s">
        <v>124</v>
      </c>
      <c r="F65" s="154" t="s">
        <v>539</v>
      </c>
      <c r="G65" s="154" t="s">
        <v>540</v>
      </c>
    </row>
    <row r="66" spans="1:7" x14ac:dyDescent="0.25">
      <c r="A66" s="154" t="s">
        <v>131</v>
      </c>
      <c r="B66" s="154" t="s">
        <v>132</v>
      </c>
      <c r="C66" s="154" t="s">
        <v>128</v>
      </c>
      <c r="D66" s="154" t="s">
        <v>538</v>
      </c>
      <c r="E66" s="154" t="s">
        <v>124</v>
      </c>
      <c r="F66" s="154" t="s">
        <v>539</v>
      </c>
      <c r="G66" s="154" t="s">
        <v>540</v>
      </c>
    </row>
    <row r="67" spans="1:7" x14ac:dyDescent="0.25">
      <c r="A67" s="154" t="s">
        <v>126</v>
      </c>
      <c r="B67" s="154" t="s">
        <v>127</v>
      </c>
      <c r="C67" s="154" t="s">
        <v>128</v>
      </c>
      <c r="D67" s="154" t="s">
        <v>538</v>
      </c>
      <c r="E67" s="154" t="s">
        <v>124</v>
      </c>
      <c r="F67" s="154" t="s">
        <v>539</v>
      </c>
      <c r="G67" s="154" t="s">
        <v>540</v>
      </c>
    </row>
    <row r="68" spans="1:7" x14ac:dyDescent="0.25">
      <c r="A68" s="154" t="s">
        <v>276</v>
      </c>
      <c r="B68" s="154" t="s">
        <v>277</v>
      </c>
      <c r="C68" s="154" t="s">
        <v>128</v>
      </c>
      <c r="D68" s="154" t="s">
        <v>538</v>
      </c>
      <c r="E68" s="154" t="s">
        <v>200</v>
      </c>
      <c r="F68" s="154" t="s">
        <v>539</v>
      </c>
      <c r="G68" s="154" t="s">
        <v>540</v>
      </c>
    </row>
    <row r="71" spans="1:7" x14ac:dyDescent="0.25">
      <c r="A71" s="153" t="s">
        <v>3</v>
      </c>
      <c r="B71" s="153" t="s">
        <v>524</v>
      </c>
      <c r="C71" s="153" t="s">
        <v>461</v>
      </c>
    </row>
    <row r="72" spans="1:7" x14ac:dyDescent="0.25">
      <c r="A72" s="154" t="s">
        <v>494</v>
      </c>
      <c r="B72" s="154" t="s">
        <v>528</v>
      </c>
      <c r="C72" s="154" t="s">
        <v>541</v>
      </c>
    </row>
    <row r="73" spans="1:7" x14ac:dyDescent="0.25">
      <c r="A73" s="154" t="s">
        <v>51</v>
      </c>
      <c r="B73" s="154" t="s">
        <v>532</v>
      </c>
      <c r="C73" s="154"/>
    </row>
    <row r="74" spans="1:7" x14ac:dyDescent="0.25">
      <c r="A74" s="154" t="s">
        <v>74</v>
      </c>
      <c r="B74" s="154" t="s">
        <v>535</v>
      </c>
      <c r="C74" s="154" t="s">
        <v>542</v>
      </c>
    </row>
    <row r="75" spans="1:7" x14ac:dyDescent="0.25">
      <c r="A75" s="154" t="s">
        <v>128</v>
      </c>
      <c r="B75" s="154" t="s">
        <v>538</v>
      </c>
      <c r="C75" s="154"/>
    </row>
  </sheetData>
  <hyperlinks>
    <hyperlink ref="J33" r:id="rId1" xr:uid="{B882D009-CD91-43E5-9FAC-82ED9CA176AE}"/>
    <hyperlink ref="J37" r:id="rId2" xr:uid="{F20FA06F-97EE-462B-AEC5-011FEC804C93}"/>
    <hyperlink ref="J39" r:id="rId3" xr:uid="{E686CD46-07F5-44E2-A090-B1056A06C009}"/>
    <hyperlink ref="J40" r:id="rId4" xr:uid="{F3F0899B-4398-4367-951D-3ACA50189422}"/>
  </hyperlinks>
  <pageMargins left="0.7" right="0.7" top="0.75" bottom="0.75" header="0.3" footer="0.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>
      <selection activeCell="E1" sqref="E1"/>
    </sheetView>
  </sheetViews>
  <sheetFormatPr defaultRowHeight="15" x14ac:dyDescent="0.25"/>
  <cols>
    <col min="2" max="2" width="19.28515625" customWidth="1"/>
    <col min="3" max="3" width="49.42578125" customWidth="1"/>
    <col min="4" max="4" width="26.42578125" customWidth="1"/>
    <col min="5" max="5" width="73.140625" customWidth="1"/>
  </cols>
  <sheetData>
    <row r="1" spans="1:5" x14ac:dyDescent="0.25">
      <c r="A1" s="2" t="s">
        <v>1</v>
      </c>
      <c r="B1" s="3" t="s">
        <v>4</v>
      </c>
      <c r="C1" s="3" t="s">
        <v>543</v>
      </c>
      <c r="D1" s="3" t="s">
        <v>544</v>
      </c>
      <c r="E1" s="3" t="s">
        <v>461</v>
      </c>
    </row>
    <row r="2" spans="1:5" ht="180.75" customHeight="1" x14ac:dyDescent="0.25">
      <c r="A2" s="4" t="s">
        <v>16</v>
      </c>
      <c r="B2" s="5" t="s">
        <v>17</v>
      </c>
      <c r="C2" s="5" t="s">
        <v>545</v>
      </c>
      <c r="D2" s="10"/>
      <c r="E2" s="8" t="s">
        <v>546</v>
      </c>
    </row>
    <row r="3" spans="1:5" ht="18" customHeight="1" x14ac:dyDescent="0.25">
      <c r="A3" s="4" t="s">
        <v>36</v>
      </c>
      <c r="B3" s="5" t="s">
        <v>37</v>
      </c>
      <c r="C3" s="5" t="s">
        <v>547</v>
      </c>
      <c r="D3" s="10">
        <v>45736</v>
      </c>
    </row>
    <row r="4" spans="1:5" x14ac:dyDescent="0.25">
      <c r="A4" s="4" t="s">
        <v>45</v>
      </c>
      <c r="B4" s="5" t="s">
        <v>46</v>
      </c>
      <c r="C4" s="5" t="s">
        <v>548</v>
      </c>
    </row>
    <row r="5" spans="1:5" x14ac:dyDescent="0.25">
      <c r="A5" s="4" t="s">
        <v>51</v>
      </c>
      <c r="B5" s="5" t="s">
        <v>52</v>
      </c>
      <c r="C5" s="5" t="s">
        <v>549</v>
      </c>
    </row>
    <row r="6" spans="1:5" x14ac:dyDescent="0.25">
      <c r="A6" s="4" t="s">
        <v>61</v>
      </c>
      <c r="B6" s="5" t="s">
        <v>62</v>
      </c>
      <c r="C6" s="5" t="s">
        <v>140</v>
      </c>
      <c r="D6" s="10">
        <v>45729</v>
      </c>
    </row>
    <row r="7" spans="1:5" ht="45" customHeight="1" x14ac:dyDescent="0.25">
      <c r="A7" s="4" t="s">
        <v>257</v>
      </c>
      <c r="B7" s="5" t="s">
        <v>550</v>
      </c>
      <c r="C7" s="5" t="s">
        <v>551</v>
      </c>
    </row>
    <row r="8" spans="1:5" ht="45" customHeight="1" x14ac:dyDescent="0.25">
      <c r="A8" s="4" t="s">
        <v>74</v>
      </c>
      <c r="B8" s="5" t="s">
        <v>75</v>
      </c>
      <c r="C8" s="5" t="s">
        <v>552</v>
      </c>
      <c r="D8" s="10">
        <v>45726</v>
      </c>
    </row>
    <row r="9" spans="1:5" ht="45" customHeight="1" x14ac:dyDescent="0.25">
      <c r="A9" s="4" t="s">
        <v>128</v>
      </c>
      <c r="B9" s="5" t="s">
        <v>129</v>
      </c>
      <c r="C9" s="5" t="s">
        <v>553</v>
      </c>
      <c r="D9" s="10">
        <v>45734</v>
      </c>
    </row>
    <row r="10" spans="1:5" ht="45" customHeight="1" x14ac:dyDescent="0.25">
      <c r="A10" s="4" t="s">
        <v>554</v>
      </c>
      <c r="B10" s="5" t="s">
        <v>555</v>
      </c>
      <c r="C10" s="5" t="s">
        <v>556</v>
      </c>
    </row>
    <row r="11" spans="1:5" ht="45" customHeight="1" x14ac:dyDescent="0.25">
      <c r="A11" s="4" t="s">
        <v>91</v>
      </c>
      <c r="B11" s="5" t="s">
        <v>92</v>
      </c>
      <c r="C11" s="5" t="s">
        <v>557</v>
      </c>
    </row>
    <row r="12" spans="1:5" ht="30" customHeight="1" x14ac:dyDescent="0.25">
      <c r="A12" s="4" t="s">
        <v>558</v>
      </c>
      <c r="B12" s="5" t="s">
        <v>559</v>
      </c>
      <c r="C12" s="5" t="s">
        <v>560</v>
      </c>
    </row>
    <row r="13" spans="1:5" x14ac:dyDescent="0.25">
      <c r="A13" s="4" t="s">
        <v>561</v>
      </c>
      <c r="B13" s="5" t="s">
        <v>562</v>
      </c>
      <c r="C13" s="5" t="s">
        <v>563</v>
      </c>
    </row>
    <row r="14" spans="1:5" x14ac:dyDescent="0.25">
      <c r="A14" s="4" t="s">
        <v>113</v>
      </c>
      <c r="B14" s="5" t="s">
        <v>114</v>
      </c>
      <c r="C14" s="5" t="s">
        <v>564</v>
      </c>
    </row>
    <row r="15" spans="1:5" x14ac:dyDescent="0.25">
      <c r="A15" s="4" t="s">
        <v>565</v>
      </c>
      <c r="B15" s="5" t="s">
        <v>566</v>
      </c>
      <c r="C15" s="5" t="s">
        <v>140</v>
      </c>
    </row>
    <row r="16" spans="1:5" x14ac:dyDescent="0.25">
      <c r="A16" s="4" t="s">
        <v>567</v>
      </c>
      <c r="B16" s="5" t="s">
        <v>568</v>
      </c>
      <c r="C16" s="5" t="s">
        <v>569</v>
      </c>
    </row>
    <row r="17" spans="1:3" x14ac:dyDescent="0.25">
      <c r="A17" s="4" t="s">
        <v>570</v>
      </c>
      <c r="B17" s="5" t="s">
        <v>571</v>
      </c>
      <c r="C17" s="5" t="s">
        <v>140</v>
      </c>
    </row>
    <row r="18" spans="1:3" x14ac:dyDescent="0.25">
      <c r="A18" s="6"/>
      <c r="B18" s="6"/>
      <c r="C18" s="6"/>
    </row>
  </sheetData>
  <autoFilter ref="A1:E17" xr:uid="{00000000-0009-0000-0000-000004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95ED299D436A4EB4AA5BF77E5398DD" ma:contentTypeVersion="3" ma:contentTypeDescription="Create a new document." ma:contentTypeScope="" ma:versionID="647be6c57b5cc831ea977fc2244f1ced">
  <xsd:schema xmlns:xsd="http://www.w3.org/2001/XMLSchema" xmlns:xs="http://www.w3.org/2001/XMLSchema" xmlns:p="http://schemas.microsoft.com/office/2006/metadata/properties" xmlns:ns2="8e5bb73b-09b5-4267-86ae-7d74de1de49f" targetNamespace="http://schemas.microsoft.com/office/2006/metadata/properties" ma:root="true" ma:fieldsID="43f0ca3b1926d159eec75d3a54ef83c7" ns2:_="">
    <xsd:import namespace="8e5bb73b-09b5-4267-86ae-7d74de1de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5bb73b-09b5-4267-86ae-7d74de1de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FFE324-BF42-4680-8C1E-F364A315779B}">
  <ds:schemaRefs>
    <ds:schemaRef ds:uri="http://purl.org/dc/dcmitype/"/>
    <ds:schemaRef ds:uri="8e5bb73b-09b5-4267-86ae-7d74de1de49f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6C30029-85E6-4903-AF78-29AD1C1DDD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5bb73b-09b5-4267-86ae-7d74de1de4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EFC188-C504-4F4D-8E14-7072F65207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Wave 1</vt:lpstr>
      <vt:lpstr>Wave 2</vt:lpstr>
      <vt:lpstr>Merge e Deploy QA Wave 2</vt:lpstr>
      <vt:lpstr>Wave 3</vt:lpstr>
      <vt:lpstr>Templates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Sansonne</dc:creator>
  <cp:keywords/>
  <dc:description/>
  <cp:lastModifiedBy>Antonio Sansonne</cp:lastModifiedBy>
  <cp:revision/>
  <dcterms:created xsi:type="dcterms:W3CDTF">2025-02-25T14:15:24Z</dcterms:created>
  <dcterms:modified xsi:type="dcterms:W3CDTF">2025-12-03T14:13:57Z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0x0101001C95ED299D436A4EB4AA5BF77E5398DD</vt:lpwstr>
  </property>
</Properties>
</file>